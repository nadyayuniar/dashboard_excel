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slicers/slicer3.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slicers/slicer4.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9.xml" ContentType="application/vnd.openxmlformats-officedocument.drawing+xml"/>
  <Override PartName="/xl/slicers/slicer5.xml" ContentType="application/vnd.ms-excel.slicer+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1.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2.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13.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New folder\ITS\Semester 6\SIM\"/>
    </mc:Choice>
  </mc:AlternateContent>
  <bookViews>
    <workbookView minimized="1" xWindow="0" yWindow="0" windowWidth="16815" windowHeight="7005" firstSheet="8" activeTab="8"/>
  </bookViews>
  <sheets>
    <sheet name="Home" sheetId="7" state="hidden" r:id="rId1"/>
    <sheet name="Pencarian" sheetId="13" state="hidden" r:id="rId2"/>
    <sheet name="Performa" sheetId="14" state="hidden" r:id="rId3"/>
    <sheet name="Penelitian" sheetId="15" state="hidden" r:id="rId4"/>
    <sheet name="PengMas" sheetId="16" state="hidden" r:id="rId5"/>
    <sheet name="Infografis Penelitian Nas" sheetId="17" state="hidden" r:id="rId6"/>
    <sheet name="Infografis Penelitian KatIns" sheetId="23" state="hidden" r:id="rId7"/>
    <sheet name="Infografis PengMas" sheetId="18" state="hidden" r:id="rId8"/>
    <sheet name="Infografis PengMas KatIns" sheetId="24" r:id="rId9"/>
    <sheet name="Database" sheetId="1" state="hidden" r:id="rId10"/>
    <sheet name="Grafik Penelitian" sheetId="19" state="hidden" r:id="rId11"/>
    <sheet name="Grafik Pengmas" sheetId="20" state="hidden" r:id="rId12"/>
    <sheet name="Grafik Performa" sheetId="21" state="hidden" r:id="rId13"/>
  </sheets>
  <externalReferences>
    <externalReference r:id="rId14"/>
  </externalReferences>
  <definedNames>
    <definedName name="_xlnm._FilterDatabase" localSheetId="9" hidden="1">Database!$A$1:$N$1</definedName>
    <definedName name="Data">Database!$A$1:$N$201</definedName>
    <definedName name="DataB">OFFSET(Database!$A$1,0,0,COUNTA(Database!$A:$A),14)</definedName>
    <definedName name="_xlnm.Database" localSheetId="6">Database!$A$1:$N$201</definedName>
    <definedName name="_xlnm.Database" localSheetId="5">Database!$A$1:$N$201</definedName>
    <definedName name="_xlnm.Database" localSheetId="7">Database!$A$1:$N$201</definedName>
    <definedName name="_xlnm.Database" localSheetId="8">Database!$A$1:$N$201</definedName>
    <definedName name="_xlnm.Database" localSheetId="1">Database!$A$1:$N$201</definedName>
    <definedName name="_xlnm.Database" localSheetId="3">Database!$A$1:$N$201</definedName>
    <definedName name="_xlnm.Database" localSheetId="4">Database!$A$1:$N$201</definedName>
    <definedName name="_xlnm.Database" localSheetId="2">Database!$A$1:$N$201</definedName>
    <definedName name="_xlnm.Database">Database!$A$1:$N$201</definedName>
    <definedName name="DataDosen">'Grafik Performa'!$A$1:$D$601</definedName>
    <definedName name="DATAPEN">OFFSET([1]Penelitian!$A$1,0,0,COUNTA([1]Penelitian!$A:$A),12)</definedName>
    <definedName name="HeaderMD">Database!$B$1:$N$1</definedName>
    <definedName name="JUDULPEN">[1]Penelitian!$B$1:$L$1</definedName>
    <definedName name="MasterData">Database!$B$1:$N$201</definedName>
    <definedName name="Slicer_NAMA">#N/A</definedName>
    <definedName name="Slicer_PTN___LLDIKTI">#N/A</definedName>
    <definedName name="Slicer_PTN___LLDIKTI1">#N/A</definedName>
    <definedName name="Slicer_TAHUN">#N/A</definedName>
    <definedName name="Slicer_TAHUN1">#N/A</definedName>
    <definedName name="Slicer_TAHUN2">#N/A</definedName>
  </definedNames>
  <calcPr calcId="152511"/>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6" l="1"/>
  <c r="B13" i="16" s="1"/>
  <c r="R11" i="16" a="1"/>
  <c r="R11" i="16" s="1"/>
  <c r="Q11" i="16" a="1"/>
  <c r="Q11" i="16" s="1"/>
  <c r="M11" i="16"/>
  <c r="L11" i="16" a="1"/>
  <c r="L11" i="16" s="1"/>
  <c r="K11" i="16" a="1"/>
  <c r="K11" i="16" s="1"/>
  <c r="J11" i="16" a="1"/>
  <c r="J11" i="16" s="1"/>
  <c r="I11" i="16" a="1"/>
  <c r="I11" i="16" s="1"/>
  <c r="H11" i="16" a="1"/>
  <c r="H11" i="16" s="1"/>
  <c r="F11" i="16"/>
  <c r="E11" i="16" a="1"/>
  <c r="E11" i="16" s="1"/>
  <c r="D11" i="16" a="1"/>
  <c r="D11" i="16" s="1"/>
  <c r="B12" i="15"/>
  <c r="B13" i="15" s="1"/>
  <c r="T11" i="15" a="1"/>
  <c r="T11" i="15" s="1"/>
  <c r="S11" i="15" a="1"/>
  <c r="S11" i="15" s="1"/>
  <c r="R11" i="15" a="1"/>
  <c r="R11" i="15" s="1"/>
  <c r="Q11" i="15" a="1"/>
  <c r="Q11" i="15" s="1"/>
  <c r="M11" i="15"/>
  <c r="L11" i="15" a="1"/>
  <c r="L11" i="15" s="1"/>
  <c r="K11" i="15" a="1"/>
  <c r="K11" i="15" s="1"/>
  <c r="J11" i="15" a="1"/>
  <c r="J11" i="15" s="1"/>
  <c r="I11" i="15" a="1"/>
  <c r="I11" i="15" s="1"/>
  <c r="H11" i="15" a="1"/>
  <c r="H11" i="15" s="1"/>
  <c r="F11" i="15"/>
  <c r="E11" i="15" a="1"/>
  <c r="E11" i="15" s="1"/>
  <c r="D11" i="15" a="1"/>
  <c r="D11" i="15" s="1"/>
  <c r="C12" i="13"/>
  <c r="C13" i="13" s="1"/>
  <c r="C14" i="13" s="1"/>
  <c r="C15" i="13" s="1"/>
  <c r="E9" i="13"/>
  <c r="C10" i="13" s="1"/>
  <c r="D8" i="13"/>
  <c r="D9" i="13" l="1" a="1"/>
  <c r="D9" i="13" s="1"/>
  <c r="D13" i="13" s="1" a="1"/>
  <c r="D13" i="13" s="1"/>
  <c r="S13" i="13" s="1" a="1"/>
  <c r="S13" i="13" s="1"/>
  <c r="F12" i="16"/>
  <c r="M12" i="16"/>
  <c r="I12" i="16" a="1"/>
  <c r="I12" i="16" s="1"/>
  <c r="E12" i="16" a="1"/>
  <c r="E12" i="16" s="1"/>
  <c r="K12" i="16" a="1"/>
  <c r="K12" i="16" s="1"/>
  <c r="Q12" i="16" a="1"/>
  <c r="Q12" i="16" s="1"/>
  <c r="D12" i="16" a="1"/>
  <c r="D12" i="16" s="1"/>
  <c r="J12" i="16" a="1"/>
  <c r="J12" i="16" s="1"/>
  <c r="R12" i="16" a="1"/>
  <c r="R12" i="16" s="1"/>
  <c r="B14" i="16"/>
  <c r="L13" i="16" a="1"/>
  <c r="L13" i="16" s="1"/>
  <c r="H13" i="16" a="1"/>
  <c r="H13" i="16" s="1"/>
  <c r="R13" i="16" a="1"/>
  <c r="R13" i="16" s="1"/>
  <c r="K13" i="16" a="1"/>
  <c r="K13" i="16" s="1"/>
  <c r="F13" i="16"/>
  <c r="Q13" i="16" a="1"/>
  <c r="Q13" i="16" s="1"/>
  <c r="J13" i="16" a="1"/>
  <c r="J13" i="16" s="1"/>
  <c r="E13" i="16" a="1"/>
  <c r="E13" i="16" s="1"/>
  <c r="M13" i="16"/>
  <c r="I13" i="16" a="1"/>
  <c r="I13" i="16" s="1"/>
  <c r="D13" i="16" a="1"/>
  <c r="D13" i="16" s="1"/>
  <c r="H12" i="16" a="1"/>
  <c r="H12" i="16" s="1"/>
  <c r="L12" i="16" a="1"/>
  <c r="L12" i="16" s="1"/>
  <c r="F12" i="15"/>
  <c r="K12" i="15" a="1"/>
  <c r="K12" i="15" s="1"/>
  <c r="R12" i="15" a="1"/>
  <c r="R12" i="15" s="1"/>
  <c r="S13" i="15" a="1"/>
  <c r="S13" i="15" s="1"/>
  <c r="L13" i="15" a="1"/>
  <c r="L13" i="15" s="1"/>
  <c r="H13" i="15" a="1"/>
  <c r="H13" i="15" s="1"/>
  <c r="R13" i="15" a="1"/>
  <c r="R13" i="15" s="1"/>
  <c r="K13" i="15" a="1"/>
  <c r="K13" i="15" s="1"/>
  <c r="F13" i="15"/>
  <c r="B14" i="15"/>
  <c r="Q13" i="15" a="1"/>
  <c r="Q13" i="15" s="1"/>
  <c r="J13" i="15" a="1"/>
  <c r="J13" i="15" s="1"/>
  <c r="E13" i="15" a="1"/>
  <c r="E13" i="15" s="1"/>
  <c r="T13" i="15" a="1"/>
  <c r="T13" i="15" s="1"/>
  <c r="M13" i="15"/>
  <c r="I13" i="15" a="1"/>
  <c r="I13" i="15" s="1"/>
  <c r="D13" i="15" a="1"/>
  <c r="D13" i="15" s="1"/>
  <c r="H12" i="15" a="1"/>
  <c r="H12" i="15" s="1"/>
  <c r="L12" i="15" a="1"/>
  <c r="L12" i="15" s="1"/>
  <c r="S12" i="15" a="1"/>
  <c r="S12" i="15" s="1"/>
  <c r="D12" i="15" a="1"/>
  <c r="D12" i="15" s="1"/>
  <c r="I12" i="15" a="1"/>
  <c r="I12" i="15" s="1"/>
  <c r="M12" i="15"/>
  <c r="T12" i="15" a="1"/>
  <c r="T12" i="15" s="1"/>
  <c r="E12" i="15" a="1"/>
  <c r="E12" i="15" s="1"/>
  <c r="J12" i="15" a="1"/>
  <c r="J12" i="15" s="1"/>
  <c r="Q12" i="15" a="1"/>
  <c r="Q12" i="15" s="1"/>
  <c r="D14" i="13" l="1" a="1"/>
  <c r="D14" i="13" s="1"/>
  <c r="N14" i="13" s="1" a="1"/>
  <c r="N14" i="13" s="1"/>
  <c r="D11" i="13" a="1"/>
  <c r="D11" i="13" s="1"/>
  <c r="O11" i="13" s="1"/>
  <c r="D15" i="13" a="1"/>
  <c r="D15" i="13" s="1"/>
  <c r="U15" i="13" s="1" a="1"/>
  <c r="U15" i="13" s="1"/>
  <c r="D12" i="13" a="1"/>
  <c r="D12" i="13" s="1"/>
  <c r="U12" i="13" s="1" a="1"/>
  <c r="U12" i="13" s="1"/>
  <c r="B15" i="16"/>
  <c r="L14" i="16" a="1"/>
  <c r="L14" i="16" s="1"/>
  <c r="H14" i="16" a="1"/>
  <c r="H14" i="16" s="1"/>
  <c r="R14" i="16" a="1"/>
  <c r="R14" i="16" s="1"/>
  <c r="K14" i="16" a="1"/>
  <c r="K14" i="16" s="1"/>
  <c r="F14" i="16"/>
  <c r="Q14" i="16" a="1"/>
  <c r="Q14" i="16" s="1"/>
  <c r="J14" i="16" a="1"/>
  <c r="J14" i="16" s="1"/>
  <c r="E14" i="16" a="1"/>
  <c r="E14" i="16" s="1"/>
  <c r="M14" i="16"/>
  <c r="I14" i="16" a="1"/>
  <c r="I14" i="16" s="1"/>
  <c r="D14" i="16" a="1"/>
  <c r="D14" i="16" s="1"/>
  <c r="B15" i="15"/>
  <c r="Q14" i="15" a="1"/>
  <c r="Q14" i="15" s="1"/>
  <c r="J14" i="15" a="1"/>
  <c r="J14" i="15" s="1"/>
  <c r="E14" i="15" a="1"/>
  <c r="E14" i="15" s="1"/>
  <c r="T14" i="15" a="1"/>
  <c r="T14" i="15" s="1"/>
  <c r="M14" i="15"/>
  <c r="I14" i="15" a="1"/>
  <c r="I14" i="15" s="1"/>
  <c r="D14" i="15" a="1"/>
  <c r="D14" i="15" s="1"/>
  <c r="S14" i="15" a="1"/>
  <c r="S14" i="15" s="1"/>
  <c r="L14" i="15" a="1"/>
  <c r="L14" i="15" s="1"/>
  <c r="H14" i="15" a="1"/>
  <c r="H14" i="15" s="1"/>
  <c r="R14" i="15" a="1"/>
  <c r="R14" i="15" s="1"/>
  <c r="K14" i="15" a="1"/>
  <c r="K14" i="15" s="1"/>
  <c r="F14" i="15"/>
  <c r="M13" i="13" a="1"/>
  <c r="M13" i="13" s="1"/>
  <c r="L13" i="13" a="1"/>
  <c r="L13" i="13" s="1"/>
  <c r="V13" i="13" a="1"/>
  <c r="V13" i="13" s="1"/>
  <c r="G13" i="13" a="1"/>
  <c r="G13" i="13" s="1"/>
  <c r="F13" i="13" a="1"/>
  <c r="F13" i="13" s="1"/>
  <c r="K13" i="13" a="1"/>
  <c r="K13" i="13" s="1"/>
  <c r="T13" i="13" a="1"/>
  <c r="T13" i="13" s="1"/>
  <c r="H13" i="13"/>
  <c r="O13" i="13"/>
  <c r="J13" i="13" a="1"/>
  <c r="J13" i="13" s="1"/>
  <c r="U13" i="13" a="1"/>
  <c r="U13" i="13" s="1"/>
  <c r="N13" i="13" a="1"/>
  <c r="N13" i="13" s="1"/>
  <c r="L14" i="13" l="1" a="1"/>
  <c r="L14" i="13" s="1"/>
  <c r="M14" i="13" a="1"/>
  <c r="M14" i="13" s="1"/>
  <c r="F11" i="13" a="1"/>
  <c r="F11" i="13" s="1"/>
  <c r="T14" i="13" a="1"/>
  <c r="T14" i="13" s="1"/>
  <c r="G11" i="13" a="1"/>
  <c r="G11" i="13" s="1"/>
  <c r="V11" i="13" a="1"/>
  <c r="V11" i="13" s="1"/>
  <c r="S11" i="13" a="1"/>
  <c r="S11" i="13" s="1"/>
  <c r="M11" i="13" a="1"/>
  <c r="M11" i="13" s="1"/>
  <c r="J11" i="13" a="1"/>
  <c r="J11" i="13" s="1"/>
  <c r="N11" i="13" a="1"/>
  <c r="N11" i="13" s="1"/>
  <c r="T11" i="13" a="1"/>
  <c r="T11" i="13" s="1"/>
  <c r="L11" i="13" a="1"/>
  <c r="L11" i="13" s="1"/>
  <c r="O15" i="13"/>
  <c r="J14" i="13" a="1"/>
  <c r="J14" i="13" s="1"/>
  <c r="U14" i="13" a="1"/>
  <c r="U14" i="13" s="1"/>
  <c r="S14" i="13" a="1"/>
  <c r="S14" i="13" s="1"/>
  <c r="H14" i="13"/>
  <c r="K14" i="13" a="1"/>
  <c r="K14" i="13" s="1"/>
  <c r="G14" i="13" a="1"/>
  <c r="G14" i="13" s="1"/>
  <c r="H15" i="13"/>
  <c r="V14" i="13" a="1"/>
  <c r="V14" i="13" s="1"/>
  <c r="F14" i="13" a="1"/>
  <c r="F14" i="13" s="1"/>
  <c r="O14" i="13"/>
  <c r="N12" i="13" a="1"/>
  <c r="N12" i="13" s="1"/>
  <c r="T12" i="13" a="1"/>
  <c r="T12" i="13" s="1"/>
  <c r="L12" i="13" a="1"/>
  <c r="L12" i="13" s="1"/>
  <c r="V12" i="13" a="1"/>
  <c r="V12" i="13" s="1"/>
  <c r="J15" i="13" a="1"/>
  <c r="J15" i="13" s="1"/>
  <c r="T15" i="13" a="1"/>
  <c r="T15" i="13" s="1"/>
  <c r="F12" i="13" a="1"/>
  <c r="F12" i="13" s="1"/>
  <c r="S15" i="13" a="1"/>
  <c r="S15" i="13" s="1"/>
  <c r="G15" i="13" a="1"/>
  <c r="G15" i="13" s="1"/>
  <c r="G12" i="13" a="1"/>
  <c r="G12" i="13" s="1"/>
  <c r="F15" i="13" a="1"/>
  <c r="F15" i="13" s="1"/>
  <c r="K15" i="13" a="1"/>
  <c r="K15" i="13" s="1"/>
  <c r="S12" i="13" a="1"/>
  <c r="S12" i="13" s="1"/>
  <c r="M12" i="13" a="1"/>
  <c r="M12" i="13" s="1"/>
  <c r="K11" i="13" a="1"/>
  <c r="K11" i="13" s="1"/>
  <c r="H11" i="13"/>
  <c r="U11" i="13" a="1"/>
  <c r="U11" i="13" s="1"/>
  <c r="M15" i="13" a="1"/>
  <c r="M15" i="13" s="1"/>
  <c r="N15" i="13" a="1"/>
  <c r="N15" i="13" s="1"/>
  <c r="O12" i="13"/>
  <c r="V15" i="13" a="1"/>
  <c r="V15" i="13" s="1"/>
  <c r="K12" i="13" a="1"/>
  <c r="K12" i="13" s="1"/>
  <c r="H12" i="13"/>
  <c r="J12" i="13" a="1"/>
  <c r="J12" i="13" s="1"/>
  <c r="L15" i="13" a="1"/>
  <c r="L15" i="13" s="1"/>
  <c r="B16" i="16"/>
  <c r="L15" i="16" a="1"/>
  <c r="L15" i="16" s="1"/>
  <c r="H15" i="16" a="1"/>
  <c r="H15" i="16" s="1"/>
  <c r="R15" i="16" a="1"/>
  <c r="R15" i="16" s="1"/>
  <c r="K15" i="16" a="1"/>
  <c r="K15" i="16" s="1"/>
  <c r="F15" i="16"/>
  <c r="Q15" i="16" a="1"/>
  <c r="Q15" i="16" s="1"/>
  <c r="J15" i="16" a="1"/>
  <c r="J15" i="16" s="1"/>
  <c r="E15" i="16" a="1"/>
  <c r="E15" i="16" s="1"/>
  <c r="M15" i="16"/>
  <c r="I15" i="16" a="1"/>
  <c r="I15" i="16" s="1"/>
  <c r="D15" i="16" a="1"/>
  <c r="D15" i="16" s="1"/>
  <c r="S15" i="15" a="1"/>
  <c r="S15" i="15" s="1"/>
  <c r="L15" i="15" a="1"/>
  <c r="L15" i="15" s="1"/>
  <c r="H15" i="15" a="1"/>
  <c r="H15" i="15" s="1"/>
  <c r="R15" i="15" a="1"/>
  <c r="R15" i="15" s="1"/>
  <c r="K15" i="15" a="1"/>
  <c r="K15" i="15" s="1"/>
  <c r="F15" i="15"/>
  <c r="Q15" i="15" a="1"/>
  <c r="Q15" i="15" s="1"/>
  <c r="J15" i="15" a="1"/>
  <c r="J15" i="15" s="1"/>
  <c r="E15" i="15" a="1"/>
  <c r="E15" i="15" s="1"/>
  <c r="T15" i="15" a="1"/>
  <c r="T15" i="15" s="1"/>
  <c r="M15" i="15"/>
  <c r="I15" i="15" a="1"/>
  <c r="I15" i="15" s="1"/>
  <c r="D15" i="15" a="1"/>
  <c r="D15" i="15" s="1"/>
</calcChain>
</file>

<file path=xl/sharedStrings.xml><?xml version="1.0" encoding="utf-8"?>
<sst xmlns="http://schemas.openxmlformats.org/spreadsheetml/2006/main" count="4254" uniqueCount="878">
  <si>
    <t>No</t>
  </si>
  <si>
    <t>PENELITIAN /PENGABDIAN MASYARAKAT</t>
  </si>
  <si>
    <t>PTN / LLDIKTI</t>
  </si>
  <si>
    <t>NAMA INSTITUSI</t>
  </si>
  <si>
    <t>Nama Anggota 1</t>
  </si>
  <si>
    <t>Nama Anggota 2</t>
  </si>
  <si>
    <t>PENDANAAN BIAYA</t>
  </si>
  <si>
    <t>Penelitian</t>
  </si>
  <si>
    <t>LLDIKTI WILAYAH IV</t>
  </si>
  <si>
    <t>Sekolah Tinggi Ilmu Kesehatan Makassar</t>
  </si>
  <si>
    <t>Penelitian Dosen Pemula</t>
  </si>
  <si>
    <t>Ismaini Zain</t>
  </si>
  <si>
    <t>Agnes Tuti rumiati</t>
  </si>
  <si>
    <t>3630017201</t>
  </si>
  <si>
    <t>LLDIKTI WILAYAH VII</t>
  </si>
  <si>
    <t>Universitas Putra Indonesia Yptk Padang</t>
  </si>
  <si>
    <t>Irhamah</t>
  </si>
  <si>
    <t>8722066604</t>
  </si>
  <si>
    <t>LLDIKTI WILAYAH I</t>
  </si>
  <si>
    <t>Universitas Bhayangkara Jakarta Raya</t>
  </si>
  <si>
    <t>Adatul Mukaromah</t>
  </si>
  <si>
    <t>6121108903</t>
  </si>
  <si>
    <t>STMIK Primakara</t>
  </si>
  <si>
    <t>Wibawati</t>
  </si>
  <si>
    <t>Nur Iriawan</t>
  </si>
  <si>
    <t>3009038604</t>
  </si>
  <si>
    <t>Universitas Islam Riau</t>
  </si>
  <si>
    <t>Penelitian Kerjasama Antar Perguruan Tinggi</t>
  </si>
  <si>
    <t>Muhammad Mashuri</t>
  </si>
  <si>
    <t>Jerry Dwi T Purnomo</t>
  </si>
  <si>
    <t>3617087503</t>
  </si>
  <si>
    <t>LLDIKTI WILAYAH III</t>
  </si>
  <si>
    <t>Sekolah Tinggi Ilmu Kesehatan Syedza Saintika</t>
  </si>
  <si>
    <t>Sjahid Akbar</t>
  </si>
  <si>
    <t>1721038604</t>
  </si>
  <si>
    <t>Universitas Iqra Buru</t>
  </si>
  <si>
    <t>Agus Suharsono</t>
  </si>
  <si>
    <t>I Nyoman Budiantara</t>
  </si>
  <si>
    <t>6507038901</t>
  </si>
  <si>
    <t>Konsep Pengembangan Kebun Raya Balikpapan Sebagai
Destinasi Wisata Alam Unggulan</t>
  </si>
  <si>
    <t>Politeknik Gajah Tunggal</t>
  </si>
  <si>
    <t>Diaz Fitria Aksioma</t>
  </si>
  <si>
    <t>4719098401</t>
  </si>
  <si>
    <t>LLDIKTI WILAYAH XI</t>
  </si>
  <si>
    <t>Universitas Universal</t>
  </si>
  <si>
    <t>7428028802</t>
  </si>
  <si>
    <t>LLDIKTI WILAYAH XIV</t>
  </si>
  <si>
    <t>Universitas Islam Raden Rahmat</t>
  </si>
  <si>
    <t>Kartika Fithriasari</t>
  </si>
  <si>
    <t>7902058503</t>
  </si>
  <si>
    <t>LLDIKTI WILAYAH XII</t>
  </si>
  <si>
    <t>STKIP Nurul Huda di Sukaraja</t>
  </si>
  <si>
    <t>Heri Kuswanto</t>
  </si>
  <si>
    <t>8327097501</t>
  </si>
  <si>
    <t>Universitas Halu Oleo</t>
  </si>
  <si>
    <t>Suhartono</t>
  </si>
  <si>
    <t>6313057604</t>
  </si>
  <si>
    <t>LLDIKTI WILAYAH VI</t>
  </si>
  <si>
    <t>Universitas BSI</t>
  </si>
  <si>
    <t>0102087802</t>
  </si>
  <si>
    <t>LLDIKTI WILAYAH IX</t>
  </si>
  <si>
    <t>STKIP Muhammadiyah Pagaralam</t>
  </si>
  <si>
    <t>Penelitian Tesis Magister</t>
  </si>
  <si>
    <t>Vita Ratnasari</t>
  </si>
  <si>
    <t>2506037603</t>
  </si>
  <si>
    <t>LLDIKTI WILAYAH II</t>
  </si>
  <si>
    <t>Universitas 17 Agustus
1945 Jakarta</t>
  </si>
  <si>
    <t>Novri Suhermi</t>
  </si>
  <si>
    <t>5325117903</t>
  </si>
  <si>
    <t>Politeknik Nasional Denpasar</t>
  </si>
  <si>
    <t>4522068802</t>
  </si>
  <si>
    <t>PTN</t>
  </si>
  <si>
    <t>Universitas Negeri Yogyakarta</t>
  </si>
  <si>
    <t>3220077201</t>
  </si>
  <si>
    <t>Universitas Dhyana Pura</t>
  </si>
  <si>
    <t>Erma Oktania P</t>
  </si>
  <si>
    <t>7429068701</t>
  </si>
  <si>
    <t>Santi Puteri Rahayu</t>
  </si>
  <si>
    <t>5706126502</t>
  </si>
  <si>
    <t>Universitas Nahdlatul Ulama Yogyakarta</t>
  </si>
  <si>
    <t>6226086903</t>
  </si>
  <si>
    <t>Universitas KH. A. Wahab Hasbullah</t>
  </si>
  <si>
    <t>Dedy D Prastyo</t>
  </si>
  <si>
    <t>6931128902</t>
  </si>
  <si>
    <t>Universitas Mercu Buana</t>
  </si>
  <si>
    <t>6924018404</t>
  </si>
  <si>
    <t>LLDIKTI WILAYAH VIII</t>
  </si>
  <si>
    <t>Universitas PGRI Yogyakarta</t>
  </si>
  <si>
    <t>Bambang W Otok</t>
  </si>
  <si>
    <t>8728058301</t>
  </si>
  <si>
    <t>Universitas Widya Kartika</t>
  </si>
  <si>
    <t>0225019003</t>
  </si>
  <si>
    <t>Politeknik Elektronik Negeri Surabaya</t>
  </si>
  <si>
    <t>6609097303</t>
  </si>
  <si>
    <t>STISIP Muhammadiyah Sinjai</t>
  </si>
  <si>
    <t>6929107704</t>
  </si>
  <si>
    <t>Universitas Andalas</t>
  </si>
  <si>
    <t>World Class Research</t>
  </si>
  <si>
    <t>4809018604</t>
  </si>
  <si>
    <t>Institut Pendidikan Nusantara Global</t>
  </si>
  <si>
    <t>1030048602</t>
  </si>
  <si>
    <t>Sekolah Tinggi Ilmu Ekonomi Satya Dharma</t>
  </si>
  <si>
    <t>3320037301</t>
  </si>
  <si>
    <t>LLDIKTI WILAYAH V</t>
  </si>
  <si>
    <t>6826036503</t>
  </si>
  <si>
    <t>Universitas Airlangga</t>
  </si>
  <si>
    <t>Santi Wulan Purnami</t>
  </si>
  <si>
    <t>6828128903</t>
  </si>
  <si>
    <t>LLDIKTI WILAYAH X</t>
  </si>
  <si>
    <t>Universitas Flores</t>
  </si>
  <si>
    <t>Sutikno</t>
  </si>
  <si>
    <t>6327047501</t>
  </si>
  <si>
    <t>Universitas Halmahera</t>
  </si>
  <si>
    <t>6027038802</t>
  </si>
  <si>
    <t>Universitas Nasional Pasim</t>
  </si>
  <si>
    <t>Wiwiek Setya Winahju</t>
  </si>
  <si>
    <t>5408038101</t>
  </si>
  <si>
    <t>Universitas Pamulang</t>
  </si>
  <si>
    <t>1320087803</t>
  </si>
  <si>
    <t>Sekolah Tinggi Ilmu Kesehatan Audi Husada Medan</t>
  </si>
  <si>
    <t>3830067803</t>
  </si>
  <si>
    <t>Sekolah Tinggi Ilmu Kesehatan William Booth</t>
  </si>
  <si>
    <t>4726068504</t>
  </si>
  <si>
    <t>Politeknik Bosowa</t>
  </si>
  <si>
    <t>Purhadi</t>
  </si>
  <si>
    <t>8128068604</t>
  </si>
  <si>
    <t>Universitas Sulawesi Barat</t>
  </si>
  <si>
    <t>0903037902</t>
  </si>
  <si>
    <t>Universitas Ngudi Waluyo</t>
  </si>
  <si>
    <t>Penelitian Pasca Doktor</t>
  </si>
  <si>
    <t>Shofi Andriani</t>
  </si>
  <si>
    <t>8326116702</t>
  </si>
  <si>
    <t>Sekolah Tinggi Ilmu Ekonomi Amkop
Makassar</t>
  </si>
  <si>
    <t>8202036701</t>
  </si>
  <si>
    <t>Universitas Jenderal Achmad Yani Yogyakarta</t>
  </si>
  <si>
    <t>1616126604</t>
  </si>
  <si>
    <t>STKIP Muhammadiyah Muara Bungo</t>
  </si>
  <si>
    <t>7425126604</t>
  </si>
  <si>
    <t>Pemodelan Jaringan Kohonen Untuk Pengenalan Nama Asteroid</t>
  </si>
  <si>
    <t>Politeknik Negeri Ujung Pandang</t>
  </si>
  <si>
    <t>Penelitian Terapan</t>
  </si>
  <si>
    <t>2525037104</t>
  </si>
  <si>
    <t>Sekolah Tinggi Teknologi Pagaralam</t>
  </si>
  <si>
    <t>5322027004</t>
  </si>
  <si>
    <t>Universitas Tomakaka</t>
  </si>
  <si>
    <t>5016118202</t>
  </si>
  <si>
    <t>Universitas Gadjah Mada</t>
  </si>
  <si>
    <t>Setiawan</t>
  </si>
  <si>
    <t>2609108504</t>
  </si>
  <si>
    <t>5806027104</t>
  </si>
  <si>
    <t>Politeknik Aceh Selatan</t>
  </si>
  <si>
    <t>0608086601</t>
  </si>
  <si>
    <t>Sistem Pakar Diagnosis Penyakit Tanaman Karet Mengunakan Metode Depth First Sear</t>
  </si>
  <si>
    <t>7516087201</t>
  </si>
  <si>
    <t>Universitas Muhammadiyah
Sidenreng Rappang</t>
  </si>
  <si>
    <t>1102046604</t>
  </si>
  <si>
    <t>Implementasi Islamic Social Capital Terhadap Peningkatan Kesejahteraan Petani Pa</t>
  </si>
  <si>
    <t>Akademi Keperawatan Harapan Mama Deli Serdang</t>
  </si>
  <si>
    <t>5026067701</t>
  </si>
  <si>
    <t>Universitas PGRI Palembang</t>
  </si>
  <si>
    <t>8124057201</t>
  </si>
  <si>
    <t>Sekolah Tinggi Ilmu Ekonomi Sebelas April</t>
  </si>
  <si>
    <t>3609128203</t>
  </si>
  <si>
    <t>Universitas Muhadi Setiabudi</t>
  </si>
  <si>
    <t>3718087603</t>
  </si>
  <si>
    <t>IKIP Budi Utomo</t>
  </si>
  <si>
    <t>1805077901</t>
  </si>
  <si>
    <t>Universitas
Muhammadiyah Yogyakarta</t>
  </si>
  <si>
    <t>2631128303</t>
  </si>
  <si>
    <t>Peningkatan Kecepatan Tumbuh Benih Tanaman Biji
Melalui Stimulasi Fisik Non Ther</t>
  </si>
  <si>
    <t>Akademi Kebidanan Palu Sulawesi Tengah</t>
  </si>
  <si>
    <t>6727048202</t>
  </si>
  <si>
    <t>Universitas Islam 45</t>
  </si>
  <si>
    <t>Penelitian Terapan Unggulan Perguruan Tinggi</t>
  </si>
  <si>
    <t>2207096802</t>
  </si>
  <si>
    <t>Universitas Muhammadiyah
Sumatera Utara</t>
  </si>
  <si>
    <t>1828028903</t>
  </si>
  <si>
    <t>Universitas Bangka Belitung</t>
  </si>
  <si>
    <t>8410117204</t>
  </si>
  <si>
    <t>Universitas Riau</t>
  </si>
  <si>
    <t>6217068002</t>
  </si>
  <si>
    <t>Pembentukan Jaringan Granulasi Pada Luka Bakar Tikus Yang Diinduksi Aloksan Meng</t>
  </si>
  <si>
    <t>Institut Ilmu Kesehatan Bhakti Wiyata Kediri</t>
  </si>
  <si>
    <t>4120097404</t>
  </si>
  <si>
    <t>Institut  Teknologi Telkom Surabaya</t>
  </si>
  <si>
    <t>1323066602</t>
  </si>
  <si>
    <t>3113036703</t>
  </si>
  <si>
    <t>Analisis Rainbow Local Antimagic Coloring Melalui Penerapan Problem Based Learni</t>
  </si>
  <si>
    <t>Universitas Borneo Tarakan</t>
  </si>
  <si>
    <t>3709036502</t>
  </si>
  <si>
    <t>STKIP Muhammadiyah Kotabumi</t>
  </si>
  <si>
    <t>7706047602</t>
  </si>
  <si>
    <t>STKIP Muhammadiyah Enrekang</t>
  </si>
  <si>
    <t>7907097701</t>
  </si>
  <si>
    <t>Universitas Megarezky</t>
  </si>
  <si>
    <t>7713126604</t>
  </si>
  <si>
    <t>Universitas Muhammadiyah
Ponorogo</t>
  </si>
  <si>
    <t>2728087104</t>
  </si>
  <si>
    <t>Universitas Nahdlatul Ulama Purwokerto</t>
  </si>
  <si>
    <t>3214048204</t>
  </si>
  <si>
    <t>STKIP Adzkia</t>
  </si>
  <si>
    <t>8624047902</t>
  </si>
  <si>
    <t>Universitas Musamus Merauke</t>
  </si>
  <si>
    <t>8218098501</t>
  </si>
  <si>
    <t>0313028604</t>
  </si>
  <si>
    <t>Pengujian Aktivitas Anti Tuberculosis Secara In Vitro, Skrining Fitokimia, Dan S</t>
  </si>
  <si>
    <t>Universitas Samudra</t>
  </si>
  <si>
    <t>7516028703</t>
  </si>
  <si>
    <t>Universitas Jabal Ghafur</t>
  </si>
  <si>
    <t>5716058103</t>
  </si>
  <si>
    <t>Universitas Surakarta</t>
  </si>
  <si>
    <t>5111038903</t>
  </si>
  <si>
    <t>STKIP Pembangunan Indonesia</t>
  </si>
  <si>
    <t>0328097901</t>
  </si>
  <si>
    <t>Universitas Sebelas Maret</t>
  </si>
  <si>
    <t>Madu Ratna</t>
  </si>
  <si>
    <t>3318027504</t>
  </si>
  <si>
    <t>Universitas Galuh</t>
  </si>
  <si>
    <t>1414026704</t>
  </si>
  <si>
    <t>Universitas Teknokrat Indonesia</t>
  </si>
  <si>
    <t>Penelitian Dasar Unggulan Perguruan Tinggi</t>
  </si>
  <si>
    <t>2103097802</t>
  </si>
  <si>
    <t>1104067602</t>
  </si>
  <si>
    <t>Prediksi Ketepatan Masa Studi Mahasiswa Universitas Surakarta Menggunakan Algori</t>
  </si>
  <si>
    <t>3521066502</t>
  </si>
  <si>
    <t>STKIP Al Hikmah Surabaya</t>
  </si>
  <si>
    <t>7825047803</t>
  </si>
  <si>
    <t>Universitas Prisma</t>
  </si>
  <si>
    <t>3411117702</t>
  </si>
  <si>
    <t>8207058004</t>
  </si>
  <si>
    <t>Universitas Merdeka Surabaya</t>
  </si>
  <si>
    <t>1328017204</t>
  </si>
  <si>
    <t>5703047304</t>
  </si>
  <si>
    <t>Analisa Tingkat Efektivitas Rumah Sakit Umum Daerah Sebagai Badan Layanan Umum D</t>
  </si>
  <si>
    <t>Institut Keguruan dan Ilmu Pendidikan Siliwangi</t>
  </si>
  <si>
    <t>7821127404</t>
  </si>
  <si>
    <t>STIKES Satria Bhakti Nganjuk</t>
  </si>
  <si>
    <t>8307107903</t>
  </si>
  <si>
    <t>Universitas Madura</t>
  </si>
  <si>
    <t>7111127101</t>
  </si>
  <si>
    <t>LLDIKTI WILAYAH XIII</t>
  </si>
  <si>
    <t>Universitas Islam Majapahit</t>
  </si>
  <si>
    <t>7116017802</t>
  </si>
  <si>
    <t>Universitas Muhammadiyah Surakarta</t>
  </si>
  <si>
    <t>4921127204</t>
  </si>
  <si>
    <t>Universitas Darussalam Ambon</t>
  </si>
  <si>
    <t>3509046502</t>
  </si>
  <si>
    <t>Sekolah Tinggi Ilmu Kesehatan Baiturrahim</t>
  </si>
  <si>
    <t>7631088203</t>
  </si>
  <si>
    <t>Universitas Bina Nusantara</t>
  </si>
  <si>
    <t>8412046601</t>
  </si>
  <si>
    <t>4112087702</t>
  </si>
  <si>
    <t>Universitas Islam Madura</t>
  </si>
  <si>
    <t>1317048503</t>
  </si>
  <si>
    <t>5630038303</t>
  </si>
  <si>
    <t>Pengabdian Masyarakat</t>
  </si>
  <si>
    <t>PKM</t>
  </si>
  <si>
    <t>I Putu Astawa</t>
  </si>
  <si>
    <t>PPPUD Kerajinan Tenun Sutera Sengkang Di Kabupaten Wajo</t>
  </si>
  <si>
    <t>-</t>
  </si>
  <si>
    <t>Universitas Indraprasta Pgri</t>
  </si>
  <si>
    <t>PPUPIK</t>
  </si>
  <si>
    <t>Shinta Wahyu Hati</t>
  </si>
  <si>
    <t>0825107201</t>
  </si>
  <si>
    <t xml:space="preserve">PKM Industri Rumah Tangga Terasi Rebon Di Desa Ketapang, Kecamatan Kademangan,  </t>
  </si>
  <si>
    <t>Universitas Jenderal Soedirman</t>
  </si>
  <si>
    <t>PKMS</t>
  </si>
  <si>
    <t>Mey Risa</t>
  </si>
  <si>
    <t>0108076604</t>
  </si>
  <si>
    <t xml:space="preserve">Conversational Pocket Meningkatkan Keterampilan Bahasa Inggris Bagi Perawat Dan </t>
  </si>
  <si>
    <t>Universitas Janabadra</t>
  </si>
  <si>
    <t>Sitti Hadijah</t>
  </si>
  <si>
    <t>5823117504</t>
  </si>
  <si>
    <t>Pengembangan Ekonomi Industri Masyarakat Berbasis Agro Techno Park (Atp) Di Desa</t>
  </si>
  <si>
    <t>Politeknik Negeri Lampung</t>
  </si>
  <si>
    <t>PPDM</t>
  </si>
  <si>
    <t>Indah Yulia Ningsih</t>
  </si>
  <si>
    <t>6426128303</t>
  </si>
  <si>
    <t>Pengembangan Teknologi Tepat Guna Dalam Peningkatan Manajemen Produksi Virgin Co</t>
  </si>
  <si>
    <t>Universitas Bhayangkara Surabaya</t>
  </si>
  <si>
    <t>Ratni Primalita</t>
  </si>
  <si>
    <t>1328029003</t>
  </si>
  <si>
    <t xml:space="preserve">Pengolahan Limbah Asap Hasil Pembakaran Arang Batok Kelapa Menjadi Liquid Smoke </t>
  </si>
  <si>
    <t>Universitas Kristen Indonesia Paulus</t>
  </si>
  <si>
    <t>PPMUPT</t>
  </si>
  <si>
    <t>Farman</t>
  </si>
  <si>
    <t>6305117603</t>
  </si>
  <si>
    <t>PKM Pembangkit Listrik Tenaga Hybrid Bagi Masyarakat Desa Sabiyan Kabupaten Bang</t>
  </si>
  <si>
    <t>Arsy Aysyah Anas</t>
  </si>
  <si>
    <t>5421067904</t>
  </si>
  <si>
    <t>PKM Pemberdayaan Anak Yatim Melalui Ketrampilan Pembuatan Rak Piring Aluminium D</t>
  </si>
  <si>
    <t>Universitas Mahasaraswati Denpasar</t>
  </si>
  <si>
    <t>Wilda Fasim Br Hasibuan</t>
  </si>
  <si>
    <t>8430118103</t>
  </si>
  <si>
    <t>Program Pengembangan Desa Begaganlimo, Kecamatan Gondang, Kabupaten  Mojokerto.</t>
  </si>
  <si>
    <t>Universitas Muhammadiyah Malang</t>
  </si>
  <si>
    <t>Sunyoto</t>
  </si>
  <si>
    <t>6811017103</t>
  </si>
  <si>
    <t>Pemberdayaan Masyarakat Melalui Sinergi Kaum Milenial Demi Pelestarian Budaya Lo</t>
  </si>
  <si>
    <t>Ahmad Farhan</t>
  </si>
  <si>
    <t>0214047404</t>
  </si>
  <si>
    <t>PKM  Penerapan Teknologi Sanitasi Lingkungan Pada Kelompok Masyarakat Berpenghas</t>
  </si>
  <si>
    <t>Universitas Pasundan</t>
  </si>
  <si>
    <t>Henderina J Keiluhu</t>
  </si>
  <si>
    <t>6210046504</t>
  </si>
  <si>
    <t>Program Pengembangan Produk Unggulan Daerah (PPPUD)  Bandeng Cabut Duri Di Kabup</t>
  </si>
  <si>
    <t>Universitas Negeri Makassar</t>
  </si>
  <si>
    <t>Arwizet K</t>
  </si>
  <si>
    <t>6206108604</t>
  </si>
  <si>
    <t>KKN-PPM Entrepreneurship Desa Bulucenranakecamatan Pituriawa Kabupaten Sidrap</t>
  </si>
  <si>
    <t>Universitas Negeri Gorontalo</t>
  </si>
  <si>
    <t>Sisilia Florina Yanti</t>
  </si>
  <si>
    <t>7013058803</t>
  </si>
  <si>
    <t>PPPUD Desa Sentra Kerajinan Mainan Anak Tradisional Di Karanganyar, Welahan, Jep</t>
  </si>
  <si>
    <t>Universitas Ahmad Dahlan</t>
  </si>
  <si>
    <t>Mohammad Saifur Rohman</t>
  </si>
  <si>
    <t>4002068404</t>
  </si>
  <si>
    <t>PPDM Wisata Alam Dan Budaya Berbasis Masyarakat Di Desa Sanrobone, Kecamatan San</t>
  </si>
  <si>
    <t>Universitas Negeri Malang</t>
  </si>
  <si>
    <t>PPPUD</t>
  </si>
  <si>
    <t>Syair</t>
  </si>
  <si>
    <t>4130087203</t>
  </si>
  <si>
    <t>PKW Pemberdayaan Masyarakat Pesisir Dalam Pengembangan Wisata Minat Khusus Dan P</t>
  </si>
  <si>
    <t>Dewa Ketut Meles</t>
  </si>
  <si>
    <t>1813068001</t>
  </si>
  <si>
    <t>Percontohan Alternatif Pengelolaan Limbah Pabrik Tepung Tapioka Berbasis Teknolo</t>
  </si>
  <si>
    <t>Universitas Riau Kepulauan</t>
  </si>
  <si>
    <t>PKW</t>
  </si>
  <si>
    <t>Rosdanelli Hasibuan</t>
  </si>
  <si>
    <t>3030117202</t>
  </si>
  <si>
    <t>KKN-PPM-Pemberdayaan Masyarakat Berbasis Ekonomi Kreatif Melalui Pembuatan  Bank</t>
  </si>
  <si>
    <t>Universitas Udayana</t>
  </si>
  <si>
    <t>Muliyadi</t>
  </si>
  <si>
    <t>5930058703</t>
  </si>
  <si>
    <t>PPUPIK Pusat Produksi Dan Pelatihan Media Pembelajaran Sejarah</t>
  </si>
  <si>
    <t>Universitas Jember</t>
  </si>
  <si>
    <t>Rila Setyaningsih</t>
  </si>
  <si>
    <t>7807058504</t>
  </si>
  <si>
    <t>PKM Paud Danica Kids School Tamalanrea Makassar</t>
  </si>
  <si>
    <t>Universitas Brawijaya</t>
  </si>
  <si>
    <t>Mochamad Arif Zainul Fuad</t>
  </si>
  <si>
    <t>6731018202</t>
  </si>
  <si>
    <t>Peningkatan Nilai Ekonomis Usaha Terasi Melalui Diversifikasi Produk Sebagai Pro</t>
  </si>
  <si>
    <t>Universitas Malikussaleh</t>
  </si>
  <si>
    <t>KKN-PPM</t>
  </si>
  <si>
    <t>Nurlina</t>
  </si>
  <si>
    <t>2130047402</t>
  </si>
  <si>
    <t xml:space="preserve">PKM Peningkatan Pemberdayaan Produsen Tempe "Aulia" Di Sleman Melalui Penerapan </t>
  </si>
  <si>
    <t>Universitas Muhammadiyah Makassar</t>
  </si>
  <si>
    <t>Taufik Hidayat B</t>
  </si>
  <si>
    <t>1502106504</t>
  </si>
  <si>
    <t>Kampung Bambu Alu : Sentra Ekowisata Berbasis Budidaya Dan Kerajinan Bambu</t>
  </si>
  <si>
    <t>Sekolah Tinggi Ilmu Ekonomi Atma Bhakti</t>
  </si>
  <si>
    <t>Karyo Budi Utomo</t>
  </si>
  <si>
    <t>8220048101</t>
  </si>
  <si>
    <t>PKM Peningkatan Kualitas Produk, Pengemasan, Dan Pemasaran Umkm Mi Pangsit Di Ke</t>
  </si>
  <si>
    <t>Universitas Langlang Buana</t>
  </si>
  <si>
    <t>Syahminan</t>
  </si>
  <si>
    <t>3628118903</t>
  </si>
  <si>
    <t>PPDM Di Desa Ketewel Sebagai Desa Usada</t>
  </si>
  <si>
    <t>Universitas Negeri Medan</t>
  </si>
  <si>
    <t>Slamet Subiyantoro</t>
  </si>
  <si>
    <t>5022058603</t>
  </si>
  <si>
    <t>PKM Paud Sehat Cerdas Ceria Di Desa Kintamani Kecamatan Kintamani Kabupaten Bang</t>
  </si>
  <si>
    <t>Universitas Sam Ratulangi</t>
  </si>
  <si>
    <t>Sri Yona</t>
  </si>
  <si>
    <t>1707037302</t>
  </si>
  <si>
    <t>Penyediaan Air Bagi Masyarakat Pesisir Terdampak Kekeringan Dengan Desalinasi Ai</t>
  </si>
  <si>
    <t>Akademi Keperawatan Kesdam Ix/Udayana</t>
  </si>
  <si>
    <t>Hendra Yufit Riskiawan</t>
  </si>
  <si>
    <t>2006128203</t>
  </si>
  <si>
    <t>Pppe Kerajinan Uang Kepeng Di Klungkung-Bali</t>
  </si>
  <si>
    <t>I Made Ardana Putra</t>
  </si>
  <si>
    <t>2210017402</t>
  </si>
  <si>
    <t>Pengembangan Kewirausahaan (PPK) Di Stkip Muhammadiyah Palopo</t>
  </si>
  <si>
    <t>Kahar Muzakhar</t>
  </si>
  <si>
    <t>8105118902</t>
  </si>
  <si>
    <t xml:space="preserve">PPDM Desa Sentra Produksi  Minyak Nilam Dengan Integrasi Budidaya Dan Teknologi </t>
  </si>
  <si>
    <t>Universitas Papua</t>
  </si>
  <si>
    <t>Santi P.T. Rahantoknam</t>
  </si>
  <si>
    <t>7408017602</t>
  </si>
  <si>
    <t>PKM Perbaikan Usaha Masyarakat Melalui Kegiatan Budidaya Ikan Nila Dikolam Terva</t>
  </si>
  <si>
    <t>Universitas Kristen Petra</t>
  </si>
  <si>
    <t>Nurwiyanta</t>
  </si>
  <si>
    <t>6128057601</t>
  </si>
  <si>
    <t xml:space="preserve">Regenerasi Dan Pemberdayaan Petani Kopi Robusta Dalam Upaya Value Added Di Desa </t>
  </si>
  <si>
    <t>Universitas Negeri Padang</t>
  </si>
  <si>
    <t>Umi Purwandari</t>
  </si>
  <si>
    <t>3201126501</t>
  </si>
  <si>
    <t>Pengembangan Kewirausahaan (PPK) Di  Fakultas Keguruan Dan Ilmu Pendidikan Unive</t>
  </si>
  <si>
    <t>Politeknik Negeri Manado</t>
  </si>
  <si>
    <t>Atik Widiyanti</t>
  </si>
  <si>
    <t>6301128503</t>
  </si>
  <si>
    <t>Pemberdayaan Guru Biologi Se Kabupaten Bogor Untuk Meningkatkan Budaya Menulis A</t>
  </si>
  <si>
    <t>Universitas Muhammadiyah Kalimantan Timur</t>
  </si>
  <si>
    <t>Tri Astuti</t>
  </si>
  <si>
    <t>3226108801</t>
  </si>
  <si>
    <t>Program Pengembangan Desa Mitra (PPDM) Desa Wisata Mandiri Energi Di Desa Gedang</t>
  </si>
  <si>
    <t>Politeknik Negeri Bali</t>
  </si>
  <si>
    <t>Wahyu Mushollaeni</t>
  </si>
  <si>
    <t>5926067204</t>
  </si>
  <si>
    <t>PKM: Penerapan Rolls Hydraulic Bending Machine Pada Ikm Industri Logam Di Desa T</t>
  </si>
  <si>
    <t>Universitas Surabaya</t>
  </si>
  <si>
    <t>Alfonds Andrew Maramis</t>
  </si>
  <si>
    <t>5503106901</t>
  </si>
  <si>
    <t>Peningkatan Keterampilan, Inovasi Dan Perencanaan Bisnis Kelompok Umk Melalui Pe</t>
  </si>
  <si>
    <t>Universitas Muslim Indonesia</t>
  </si>
  <si>
    <t>Tri Prasetyo Utomo</t>
  </si>
  <si>
    <t>0503026701</t>
  </si>
  <si>
    <t>Pemberdayaan Usaha Kerajinan Batik Di Sragen Jawa Tengah</t>
  </si>
  <si>
    <t>Universitas Pendidikan Ganesha</t>
  </si>
  <si>
    <t>Rahmatya Widyaswati</t>
  </si>
  <si>
    <t>7501088403</t>
  </si>
  <si>
    <t>PKM Jamur Tiram Desa Betao Kabupaten Sidrap</t>
  </si>
  <si>
    <t>Universitas 17 Agustus 1945 Banyuwangi</t>
  </si>
  <si>
    <t>Mahendra</t>
  </si>
  <si>
    <t>3707046502</t>
  </si>
  <si>
    <t>Penguatan Daya Saing Usaha Kecil  Oleh-Oleh Khas Bogor (Okb) Untuk  Revitalisasi</t>
  </si>
  <si>
    <t>Dahlia Dahlima Moelier</t>
  </si>
  <si>
    <t>0330047903</t>
  </si>
  <si>
    <t>Pembinaan Pemandu Wisata Berbahasa Inggris, Pengajaran Tari Dan Tata Rias Bali D</t>
  </si>
  <si>
    <t>Universitas Bosowa</t>
  </si>
  <si>
    <t>Nuriyati Samatan</t>
  </si>
  <si>
    <t>1008118801</t>
  </si>
  <si>
    <t>PKM Peningkatan Kapabilitas Proses Dan Kualitas Produk Olahan Aneka Sayuran (Ker</t>
  </si>
  <si>
    <t>Universitas Respati Indonesia</t>
  </si>
  <si>
    <t>Yuni Aryani Koedoes</t>
  </si>
  <si>
    <t>2902117601</t>
  </si>
  <si>
    <t>PKM Satgas Remaja  Anti Narkoba (Saran) Di Wilayah Kerja Puskesmas Limo, Kota De</t>
  </si>
  <si>
    <t>Agus Syam</t>
  </si>
  <si>
    <t>2019086904</t>
  </si>
  <si>
    <t>PPUPIK Pembangkit Listrik Tenaga Surya</t>
  </si>
  <si>
    <t>Universitas Muslim Nusantara Al-Washliyah</t>
  </si>
  <si>
    <t>Indra Mawardi</t>
  </si>
  <si>
    <t>7517047903</t>
  </si>
  <si>
    <t>PPDM Desa Wisata Berbasis Lingkungan Di Desa Duyung, Kecamatan Trawas, Mojokerto</t>
  </si>
  <si>
    <t>Politeknik Negeri Semarang</t>
  </si>
  <si>
    <t>Sri Fatmah Sari</t>
  </si>
  <si>
    <t>2405017004</t>
  </si>
  <si>
    <t>Budidaya Jabon Merah Kelompok Tani Hutan Maju Makmur</t>
  </si>
  <si>
    <t>Politeknik Pertanian Negeri Pangkajene Kepulauan</t>
  </si>
  <si>
    <t>Ngatirah</t>
  </si>
  <si>
    <t>0601109002</t>
  </si>
  <si>
    <t>PKM Pengolahan Telur Di Kelurahan Paria Kecamatan Majauleg Kabupaten Wao  Sulawe</t>
  </si>
  <si>
    <t>Universitas Muhammadiyah Purworejo</t>
  </si>
  <si>
    <t>Fitriani Ningsih</t>
  </si>
  <si>
    <t>2302127202</t>
  </si>
  <si>
    <t>Pusat Inkubator Budidaya Jamur Tiram (Pleurotus Ostreatus), Berbasis Mikro-Biote</t>
  </si>
  <si>
    <t>Universitas Fajar</t>
  </si>
  <si>
    <t>Saronom Silaban</t>
  </si>
  <si>
    <t>4906038501</t>
  </si>
  <si>
    <t>PKW Minapolitan Guna Mewujudkan Swasembada Pangan Ikan Di Kabupaten Konawe Utara</t>
  </si>
  <si>
    <t>Universitas Muhammadiyah Pontianak</t>
  </si>
  <si>
    <t>Marzuki</t>
  </si>
  <si>
    <t>0901017201</t>
  </si>
  <si>
    <t>Program Kemitraan Wilayah (PKW) Kota Bekasi</t>
  </si>
  <si>
    <t>Stmik Akakom</t>
  </si>
  <si>
    <t>Rosida Vivin Nahari</t>
  </si>
  <si>
    <t>7716078304</t>
  </si>
  <si>
    <t>PKMS Kelompok Ibu - Ibu Orang Tua Siswa Kelas 1 Dan 2 Sd Ar Rasyid Tanjung Selam</t>
  </si>
  <si>
    <t>Universitas Kahuripan Kediri</t>
  </si>
  <si>
    <t>Iwan Perwira</t>
  </si>
  <si>
    <t>8314128902</t>
  </si>
  <si>
    <t>Pengelolaan Tanah Wakaf Untuk Pcm Turi Yang Produktif Dan Berkemajuan</t>
  </si>
  <si>
    <t>Institut Pertanian Bogor</t>
  </si>
  <si>
    <t>Seri Suriani</t>
  </si>
  <si>
    <t>2128117401</t>
  </si>
  <si>
    <t>Melahirkan Jiwa Kewirausahaan Mahasiswa Secara Berkelanjutan</t>
  </si>
  <si>
    <t>Universitas Hasanuddin</t>
  </si>
  <si>
    <t>Ali Sofwan</t>
  </si>
  <si>
    <t>2003086701</t>
  </si>
  <si>
    <t>PKW Agroforestry Kreatif Berkelanjutan Di Kecamatan Napabalano, Kabupaten Muna</t>
  </si>
  <si>
    <t>Universitas Putera Batam</t>
  </si>
  <si>
    <t>Elkawakib Syamun</t>
  </si>
  <si>
    <t>2023107904</t>
  </si>
  <si>
    <t>Program Kemitraan Masyarakat Pengrajin Lampu Hias Beraroma Terapi Di Desa Ketega</t>
  </si>
  <si>
    <t>Riska Nurtantyo Sarbini</t>
  </si>
  <si>
    <t>1229118604</t>
  </si>
  <si>
    <t>Peningkatan Kompetensi Profesional Guru Fisika Vokasi Di Kabupaten Garut Melalui</t>
  </si>
  <si>
    <t>Institut Pendidikan Tapanuli Selatan</t>
  </si>
  <si>
    <t>Badaruddin Anwar</t>
  </si>
  <si>
    <t>7425068701</t>
  </si>
  <si>
    <t xml:space="preserve">Penerapan Mesin Tenun Mendong Berbasis Smart System Pada Umkn Pengrajin Mendong </t>
  </si>
  <si>
    <t>Universitas Tanjungpura</t>
  </si>
  <si>
    <t>Kasron</t>
  </si>
  <si>
    <t>7106116601</t>
  </si>
  <si>
    <t>PKMS Peningkatan Produktivitas  Irt Kelompok Budidaya Bebek Desa Sei Mencirim Ka</t>
  </si>
  <si>
    <t>Universitas Muhammadiyah Sidoarjo</t>
  </si>
  <si>
    <t>Rokhana Dwi Bekti</t>
  </si>
  <si>
    <t>8606126501</t>
  </si>
  <si>
    <t>Pengembangan Budidaya Jambu Merah Getas Berbasis Teknologi Tepat Guna Di Kecamat</t>
  </si>
  <si>
    <t>Universitas Muhammadiyah Kendari</t>
  </si>
  <si>
    <t>Yustina Lina Dina Wambrauw</t>
  </si>
  <si>
    <t>7111078701</t>
  </si>
  <si>
    <t>Pengembangan  Inkubator  Bisnis  Wirausaha  Muda Universitas  Pgri Palangka  Ray</t>
  </si>
  <si>
    <t>Politeknik Perikanan Negeri Tual</t>
  </si>
  <si>
    <t>Rulinawaty</t>
  </si>
  <si>
    <t>2130118901</t>
  </si>
  <si>
    <t>Desa Sentra Perbibitan Sapi Rakyat</t>
  </si>
  <si>
    <t>Universitas Muhammadiyah Surabaya</t>
  </si>
  <si>
    <t>Isrojaty Johanes Paransa</t>
  </si>
  <si>
    <t>6926078804</t>
  </si>
  <si>
    <t xml:space="preserve">PKM Pengentasan Kemiskinan Melalui Social Preneur Bagi Ibu-Ibu Penerima Bantuan </t>
  </si>
  <si>
    <t>Universitas Tadulako</t>
  </si>
  <si>
    <t>Edwin Leonardo Apolonio Ngangi</t>
  </si>
  <si>
    <t>4126067702</t>
  </si>
  <si>
    <t>Pemanfaatan Kincir Angin Untuk Peningkatan Pendapatan Dan Penguatan Kapasitas Ke</t>
  </si>
  <si>
    <t>Bakir</t>
  </si>
  <si>
    <t>2020128301</t>
  </si>
  <si>
    <t xml:space="preserve">Peningkatan Profit Petani Ikan Lele Melalui Aplikasi Teknologi Pemijahan Buatan </t>
  </si>
  <si>
    <t>Universitas 17 Agustus 1945 Surabaya</t>
  </si>
  <si>
    <t>Ronny Hasudungan Purba</t>
  </si>
  <si>
    <t>7807028004</t>
  </si>
  <si>
    <t>Pendampingan Ekonomi Kreatif Bagi Koperasi Paguyuban Karyawan (Pakar)  Dekabe Ja</t>
  </si>
  <si>
    <t>Politeknik Negeri Batam</t>
  </si>
  <si>
    <t>Maya Weka Santi</t>
  </si>
  <si>
    <t>8516058002</t>
  </si>
  <si>
    <t xml:space="preserve">PKM Pemberdayaan Dan Peningkatan Kapasitas Kelompok Masyarakat Lintas Komunitas </t>
  </si>
  <si>
    <t>Asmidar</t>
  </si>
  <si>
    <t>7321098601</t>
  </si>
  <si>
    <t>Implementasi Website Dan Chatbot Sebagai Sarana Pemasaran Untuk Meningkatkan Oms</t>
  </si>
  <si>
    <t>Stkip Pgri Banjarmasin</t>
  </si>
  <si>
    <t>Jusuf Haurissa</t>
  </si>
  <si>
    <t>3809086604</t>
  </si>
  <si>
    <t>PPDM Unggas Berbasis Teknologi Tepat Guna Ramah Lingkungan Kabupaten Sidrap</t>
  </si>
  <si>
    <t>Dermawan Waruwu</t>
  </si>
  <si>
    <t>6119128202</t>
  </si>
  <si>
    <t xml:space="preserve">PKM Usaha Pakan Ikan Di Desa Sungai Duren, Kecamatan Jambi Luar Kota, Kabupaten </t>
  </si>
  <si>
    <t>Jane Melita Keliat</t>
  </si>
  <si>
    <t>1604126604</t>
  </si>
  <si>
    <t>Universitas Abdurrab</t>
  </si>
  <si>
    <t>PPK</t>
  </si>
  <si>
    <t>Muhlis Ruslan</t>
  </si>
  <si>
    <t>8418077502</t>
  </si>
  <si>
    <t>PPPUD Manggis Untuk Ekspor Di Kecamatan Pupuan Kabupaten Tabanan, Bali</t>
  </si>
  <si>
    <t>Universitas Darussalam Gontor</t>
  </si>
  <si>
    <t>Cahyana Nursidiq</t>
  </si>
  <si>
    <t>0430118102</t>
  </si>
  <si>
    <t>Politeknik Negeri Kupang</t>
  </si>
  <si>
    <t>Widarto</t>
  </si>
  <si>
    <t>2429028802</t>
  </si>
  <si>
    <t>Peningkatan Pendapatan Paguyuban Warung Kuliner  “Mina Bahari 45” Melalui  Pengo</t>
  </si>
  <si>
    <t>Ratna Dewi</t>
  </si>
  <si>
    <t>2130048401</t>
  </si>
  <si>
    <t>Pemasaran Multi Produk Berbahan Dasar Susu Kerbau Rawa (Puan) Pampangan Ogan Kom</t>
  </si>
  <si>
    <t>Universitas Trisakti</t>
  </si>
  <si>
    <t>Ahsan Mardjudo</t>
  </si>
  <si>
    <t>8413028003</t>
  </si>
  <si>
    <t>PKW Di Kecamatan Banda Sakti Kota Lhokseumawe</t>
  </si>
  <si>
    <t>Politeknik Negeri Sriwijaya</t>
  </si>
  <si>
    <t>Nita Kusumawati</t>
  </si>
  <si>
    <t>0430047203</t>
  </si>
  <si>
    <t>PKMS Aplikasi Iptek Potensi Laut Alga Cokelat (Sargassum Sp) Sebagai Pengawet  A</t>
  </si>
  <si>
    <t>Rohmana</t>
  </si>
  <si>
    <t>1122066502</t>
  </si>
  <si>
    <t>Penerapan Teknologi Mikropartikel Susu Probiotik Untuk Pengembangan Dan Peningka</t>
  </si>
  <si>
    <t>Politeknik Caltex</t>
  </si>
  <si>
    <t>Julinda Romauli Manullang</t>
  </si>
  <si>
    <t>0414126701</t>
  </si>
  <si>
    <t>PPDM  E-Desa Rimba Makmur Kecamatan Tapung Hulu Kabupaten Kampar Provinsi Riau</t>
  </si>
  <si>
    <t>Ni Luh Adisti Abiyoga Wulandari</t>
  </si>
  <si>
    <t>1021127901</t>
  </si>
  <si>
    <t xml:space="preserve">Inovasi Teknologi Recirculation Aquaculture System - Acclimation Treatment (Ras </t>
  </si>
  <si>
    <t>Mukhlis</t>
  </si>
  <si>
    <t>5830098102</t>
  </si>
  <si>
    <t>Produktivitas Dan Pengelolaan Badan Usaha Milik Gampong (Bumg) Banna Desa Paya P</t>
  </si>
  <si>
    <t>Wiyono</t>
  </si>
  <si>
    <t>3517077503</t>
  </si>
  <si>
    <t>Penguatan Desa Wisata Berbasis Kampung Iklim: Panen Dan Pemanfaatan Air Hujan Un</t>
  </si>
  <si>
    <t>Universitas Aki</t>
  </si>
  <si>
    <t>Devi Mulia Sari</t>
  </si>
  <si>
    <t>6102016702</t>
  </si>
  <si>
    <t>PKM Produsen Tahu Kuring Makassar, Di Kabupaten Sungguminasa Gowa, Sulawesi Sela</t>
  </si>
  <si>
    <t>Universitas Darwan Ali</t>
  </si>
  <si>
    <t>Bambang Sugiantoro</t>
  </si>
  <si>
    <t>3928048802</t>
  </si>
  <si>
    <t xml:space="preserve">Pendampingan Pembelajaran Ekstrakurikuler Bahasa Inggris Siswa Dalam Menghadapi </t>
  </si>
  <si>
    <t>Universitas Muhammadiyah Riau</t>
  </si>
  <si>
    <t>Rahayu Retnaningsih</t>
  </si>
  <si>
    <t>1718087502</t>
  </si>
  <si>
    <t>Pengembangan Umkm Ikan Patin Asap "Putra Niaga" Di Desa Lubuk Agung, Kabupaten K</t>
  </si>
  <si>
    <t>Universitas Esa Unggul</t>
  </si>
  <si>
    <t>I Wayan Windia</t>
  </si>
  <si>
    <t>5808126801</t>
  </si>
  <si>
    <t>PKM Kelompok Usaha Ibu Rumah Tangga Kelurahan Lakarsantri Kota Surabaya</t>
  </si>
  <si>
    <t>Bagus Putu Wahyu Nirmala</t>
  </si>
  <si>
    <t>1313038602</t>
  </si>
  <si>
    <t>PKM Kelompok Penderita Cacat Netra Di Kota Malang</t>
  </si>
  <si>
    <t>Universitas Pgri Madiun</t>
  </si>
  <si>
    <t>David Samiyono</t>
  </si>
  <si>
    <t>2713066501</t>
  </si>
  <si>
    <t>Asgar Taiyeb</t>
  </si>
  <si>
    <t>7130098604</t>
  </si>
  <si>
    <t>PPDM Desa Ranu Pakis Kecamatan Klakah Kabupaten Lumajang Sebagai Desa Sentra Pro</t>
  </si>
  <si>
    <t>Haris Mahmud</t>
  </si>
  <si>
    <t>3417107901</t>
  </si>
  <si>
    <t>Pemberdayaan Masyarakat Dalam Pengolahan Limbah Organik Dan Anorganik Di Desa Pa</t>
  </si>
  <si>
    <t>Stkip Taman Siswa Bima</t>
  </si>
  <si>
    <t>Faiza Rini</t>
  </si>
  <si>
    <t>5828047304</t>
  </si>
  <si>
    <t>PPPUD Pengelolaan Susu Sapi Segar Di Kabupaten Boyolali,  Jawa Tengah</t>
  </si>
  <si>
    <t>Universitas Lambung Mangkurat</t>
  </si>
  <si>
    <t>Ni Nyoman Sri Astuti</t>
  </si>
  <si>
    <t>5003107704</t>
  </si>
  <si>
    <t>Aplikasi Teknologi Pengawet Alami Atung Pada Penanganan Produksi Tuna Loin Dan O</t>
  </si>
  <si>
    <t>Universitas Suryakancana</t>
  </si>
  <si>
    <t>Susanti Sundari</t>
  </si>
  <si>
    <t>8618027503</t>
  </si>
  <si>
    <t>Pppe Industri Kreatif Batik Untuk Usaha Kecil Menengah Di Kota Yogyakarta Dan Kl</t>
  </si>
  <si>
    <t>Rucitra Widyasari</t>
  </si>
  <si>
    <t>8229126904</t>
  </si>
  <si>
    <t>PKM Pemanfaatan Kotoran Kelinci Pada Kelompok Tani Ternak Di Kawasan Wisata Desa</t>
  </si>
  <si>
    <t>Ahmad Kholil</t>
  </si>
  <si>
    <t>0823128403</t>
  </si>
  <si>
    <t>PKM: Pendampingan Kelompok Pkk Pemantauan Dan Penanggulangan Stunting Di Desa Je</t>
  </si>
  <si>
    <t>Politeknik Negeri Banyuwangi</t>
  </si>
  <si>
    <t>Noor Cholis Basjaruddin</t>
  </si>
  <si>
    <t>7923028004</t>
  </si>
  <si>
    <t>Program Pengembangan Dusun Nawangan Desa Tawangrejo Kecamatan Jatirejo Kab. Mojo</t>
  </si>
  <si>
    <t>Sutoyo</t>
  </si>
  <si>
    <t>3319067504</t>
  </si>
  <si>
    <t>PPDM Optimalisasi Seribu Hari Pertama Kehidupan Di Desa Balongtani Jabon Sidoarj</t>
  </si>
  <si>
    <t>Veince B Silahooy</t>
  </si>
  <si>
    <t>6002096702</t>
  </si>
  <si>
    <t>Desa Baseh, Desa Wisata Yang Sehat</t>
  </si>
  <si>
    <t>Zulkifli Poli</t>
  </si>
  <si>
    <t>6615116602</t>
  </si>
  <si>
    <t>Ppud Pengembangan Geowisata Berwawasan Edukasi Dan Kearifan Lokal Di Desa Gentan</t>
  </si>
  <si>
    <t>Andreas Wahyu Krisdiarto</t>
  </si>
  <si>
    <t>5612128002</t>
  </si>
  <si>
    <t>PKMS Peningkatan Produksi Asi Pada Ibu Hamil</t>
  </si>
  <si>
    <t>Universitas Negeri Semarang</t>
  </si>
  <si>
    <t>Ni Nyoman Candraasih K</t>
  </si>
  <si>
    <t>1918017304</t>
  </si>
  <si>
    <t>PKM Petani Lahan Terasering Di Kabupaten Sinjai</t>
  </si>
  <si>
    <t>Penelitian Disertasi Doktor</t>
  </si>
  <si>
    <t>Baru</t>
  </si>
  <si>
    <t>Row Labels</t>
  </si>
  <si>
    <t>Grand Total</t>
  </si>
  <si>
    <t>Count of SKEMA</t>
  </si>
  <si>
    <t>Sum of PENDANAAN BIAYA</t>
  </si>
  <si>
    <t>PENELITIAN</t>
  </si>
  <si>
    <t>PENGABDIAN MASYARAKAT</t>
  </si>
  <si>
    <t>INFOGRAFIS PENELITIAN</t>
  </si>
  <si>
    <t>INFOGRAFIS PENGABDIAN MASYARAKAT</t>
  </si>
  <si>
    <t>Lanjutan</t>
  </si>
  <si>
    <t>Tahun</t>
  </si>
  <si>
    <t>PERFORMA</t>
  </si>
  <si>
    <t>PENCARIAN</t>
  </si>
  <si>
    <t>Cari Berdasarkan</t>
  </si>
  <si>
    <t>Jumlah</t>
  </si>
  <si>
    <t>Hasil</t>
  </si>
  <si>
    <t>SKEMA</t>
  </si>
  <si>
    <t>NIDN</t>
  </si>
  <si>
    <t>JUDUL</t>
  </si>
  <si>
    <t>STATUS USULAN</t>
  </si>
  <si>
    <t>DURASI PENELITIAN
(Tahun)</t>
  </si>
  <si>
    <t>NAMA ANGGOTA 1</t>
  </si>
  <si>
    <t>NAMA ANGGOTA 2</t>
  </si>
  <si>
    <t xml:space="preserve">Analisis Cluster Dengan Complete Linkage Dan Ward’S Method Untuk Data Pelayanan </t>
  </si>
  <si>
    <t>Analisis Pengaruh Npl. Nim. Ldr Terhadap Tingkat Profitabilitas Dan Return Saham</t>
  </si>
  <si>
    <t>Model Matematika Epidemiologi Guillain-Barre Syndrome(Gbs) Dengan Tingkat Kejadi</t>
  </si>
  <si>
    <t>Pembuatan Sensor Suhu Semen Sapi Cu/Ni Dengan Metode Elektroplating Berbantuan M</t>
  </si>
  <si>
    <t>Pola Komunikasi Dan Adaptasi Budaya Mahasiswa Asing Di Universitas Prima Indones</t>
  </si>
  <si>
    <t>Pemanfaatan Cangkang Tiram Di Daerah Krueng Neng,
Aceh Besar Sebagai Pengganti S</t>
  </si>
  <si>
    <t xml:space="preserve">Telaah Sifat Mekanik Dan Morfologi Dari Struktur Ringan
Yang Difabrikasi Dengan </t>
  </si>
  <si>
    <t xml:space="preserve">Komposit Serbuk Kayu, Serat Kelapa Dan Cangkang Kerang Hijau Untuk Bahan Kampas </t>
  </si>
  <si>
    <t>Efektivitas Penerapan Tanggungjawab Sosial Perusahaan Pada Pt. Bank Rakyat Indon</t>
  </si>
  <si>
    <t>Hubungan  Kecanduan Bermain Game
Online Dengan Stres Akademik Siswa Smp Di Banda</t>
  </si>
  <si>
    <t>Respon Pengguna Dalam Memanfaatkan Jembatan
Penyebrangan Orang (Jpo) Di Kota Pek</t>
  </si>
  <si>
    <t>Model Komunikasi Alternatif Dengan Teknologi Manet (Mobile Ad-Hoc Network)
Untuk</t>
  </si>
  <si>
    <t>Virgin Coconut Oil Soap Pencegah Infeksi Candidiasis Vaginalis</t>
  </si>
  <si>
    <t>Pengaruh Suplementasi Omega 3 (Epa+Dha) Dan Konsumsi Ikan Terhadap Kadar Gula Da</t>
  </si>
  <si>
    <t>Analisis Kompetensi Keuangan Terhadap Kinerja Umkm Serta Keungulan Bersaing Bagi</t>
  </si>
  <si>
    <t>Factors Of Students Silence In Speaking (A Descriptive Study Of Eleventh Grade S</t>
  </si>
  <si>
    <t xml:space="preserve">Analisis Implementasi Prinsip-Prinsip Ekowisata Oleh Pelaku Usaha Pariwisata
Di </t>
  </si>
  <si>
    <t>Rancang Bangun Inkubator Bayi Dengan Kontrol Temperatur Menggunakan Metode Pid D</t>
  </si>
  <si>
    <t>Pengembangan Buku Ajar Berbasis Augmented Reality (Bubar) Dengan Pendekatan Smar</t>
  </si>
  <si>
    <t>Pengaruh Self Leadership Training Dan Transformational Leadership Training Terha</t>
  </si>
  <si>
    <t>Kajian Ekologi Sastra Dalam Novel-Novel Bersetting Di Kalimantan Selatan</t>
  </si>
  <si>
    <t>Efektivitas Pupuk Kompos Gulma Siam (Cromolaena
Odorata L.) Terhadap Tanaman Sel</t>
  </si>
  <si>
    <t xml:space="preserve">Birokrasi Di Era Digitalisasi (Studi Kasus Penerapan E- Government Berbasis Web </t>
  </si>
  <si>
    <t>Studi Genomik Pada Virus Mematikan Berbasis Komputasi Tingkat Lanjut Menggunakan</t>
  </si>
  <si>
    <t>Peningkatan Kreatifitas Dan Minat Belajar Siswa Pada Mata
Pelajaran Bahasa Inggr</t>
  </si>
  <si>
    <t>Pembelajaran Ekonomi Islam Melalui Living Laboratory Koperasi Sekolah Di Sma Dan</t>
  </si>
  <si>
    <t>Ekoptaologi Ceratocystis Wilt Pada Tanaman Agroforestry Di Sumatera Selatan</t>
  </si>
  <si>
    <t>Organogenesis Dan Regenerasi Beberapa Pisang Lokal Asal Kalimantan Timur (Musa P</t>
  </si>
  <si>
    <t>Sistem Konversi Energi Listrik Sebagai Energi Alternatif Untuk Kebutuhan
Rumah T</t>
  </si>
  <si>
    <t>Gaya Hidup Penderita, Sikap Dan Perilaku Keluarga Dengan Kualitas Hidup Penderit</t>
  </si>
  <si>
    <t>Pengaruh Kepemilikan Konsentrasi, Kualitas Corporate Governance Dan Other Compre</t>
  </si>
  <si>
    <t>Kajian Stabilitas Fisik Dan Kimia Salep Basis Larut Air Dan Krim Minyak Atsiri B</t>
  </si>
  <si>
    <t>Analisis Pengaruh Lingkungan Terhadap Pola Berpacaran
Pada Remaja Di Wilayah Kec</t>
  </si>
  <si>
    <t>Improving Students' Honesty Behavior Through English Subject</t>
  </si>
  <si>
    <t>Ideologi Visual Kartun Politik Koran
Jawa Pos Tahun 2019</t>
  </si>
  <si>
    <t>Korelasi Debit Kali Surabaya Dengan Parameter Kualitas Air
Memakai Structural Eq</t>
  </si>
  <si>
    <t>Produksi Kopi Luwak Berbasis In-Vitro Melalui Teknik Selective Enrichment Dengan</t>
  </si>
  <si>
    <t>Pengembangan Modul Belajar Mata Pelajaran Ekonomi Berbasis Mind Mapping Untuk Me</t>
  </si>
  <si>
    <t>Analisis Perilaku Swamedikasi Analgetik Di Apotek Kabupaten Cirebon</t>
  </si>
  <si>
    <t>Pemetaan Tingkat Bahaya Bencana Longsor Dan Sistim
Perencanaan Tata Letak Bangun</t>
  </si>
  <si>
    <t>Eksplorasi Dan Karakterisasi Rizobakteri Indegenus Asal Tanaman Jahe Merah (Zing</t>
  </si>
  <si>
    <t>Produksi Bioadsorben Dari Limbah Biomassa Untuk Proses Pemurnian Crude
Palm Oil</t>
  </si>
  <si>
    <t>Migrasi Tenaga Kerja Informal:
Studi Pada Kecamatan Sukorejo Kabupaten Pasuruan</t>
  </si>
  <si>
    <t>Pengembangan Perangkat Pembelajaran Model Make A Match Berbasis Karakter Anti Ko</t>
  </si>
  <si>
    <t xml:space="preserve">Komunikasi Antar Budaya (Fenomenologi Komunikasi Masyarakat Suku Bugis Dan Suku </t>
  </si>
  <si>
    <t>Integrasi  Model Kinerja Non Keuangan Berbasis Budaya Lokal Dengan  Kinerja Keua</t>
  </si>
  <si>
    <t>Model Pengembangan Pembelajaran Bahasa Inggris Berspektif Karakter Dan
Akidah Ta</t>
  </si>
  <si>
    <t>Study Kohort Pola Konsumsi Ibu Hamil Trimester Iii Terhadap Panjang Badan Dan Be</t>
  </si>
  <si>
    <t>Pengaruh Latihan Progressive Muscle Relaxation Dan Autogenic Training Terhadap H</t>
  </si>
  <si>
    <t>Efektifitas Pengembangan Pangan Soybean Dan Buah Naga Merah Sebagai Minuman Seha</t>
  </si>
  <si>
    <t>Optimalisasi Kinerja Pemerintah Desa Dalam Penggunaan Infrastruktur Water Closet</t>
  </si>
  <si>
    <t>Integrasi Profil Molekular Metabolik Berbasis Pendekatan Aktivasi Jalur S100A4/E</t>
  </si>
  <si>
    <t>Pengaruh Lingkungan Kerja Dan Kompensasi Terhadap Kinerja Pegawai Pada Dinas Pen</t>
  </si>
  <si>
    <t xml:space="preserve">Pengembangan Perangkat Pembelajaran Berbasis Problem Based Learning (Pbl) Untuk </t>
  </si>
  <si>
    <t>Ketepatan Pemberian Opini Audit Oleh Akuntan Publik Dan Faktor-Faktor Yang Mempe</t>
  </si>
  <si>
    <t xml:space="preserve">Pemodelan Teknik Alternatif Oleh Akuntan Dan Aktuaris Terhadap Model Pembayaran </t>
  </si>
  <si>
    <t>Implementasi Motivasi Dan Beban Kerja Dalam Peningkatan Kinerja Karyawan Melalui</t>
  </si>
  <si>
    <t>Pemodelan Arsitektur Mobile Commerce Usaha Mikro Menggunakan Enterprise Architec</t>
  </si>
  <si>
    <t>Pemanfaatan Teknik Kemometri Untuk Identifikasi Berbagai
Campuran Minyak</t>
  </si>
  <si>
    <t>Efek Sediaan Topikal Kombinasi Cinnamon
Oil(Cinnamomum Zeylanicum)  Dan Sirih Me</t>
  </si>
  <si>
    <t>Hubungan Interprofessional
Collaboration Dengan Kejadian Burnout Perawat Di Ruma</t>
  </si>
  <si>
    <t>Coping Stress Orang Banjar Dengan Mahalabiu</t>
  </si>
  <si>
    <t>Pengembangan Aplikasi Untuk Deteksi Dini Hiperbilirubinemia Pada Bayi Baru Lahir</t>
  </si>
  <si>
    <t>Strategi  Pemberdayakan Ekonomi Dan Pendidikan  Masyarakat Pesisir Melalui Progr</t>
  </si>
  <si>
    <t>Pengaruh Orientasi Pasar Dan Inovasi Terhadap Keunggulan Bersaing (Studi Pada St</t>
  </si>
  <si>
    <t>Isolasi Dan Identifikasi Senyawa Metobolit Sekunder Dari Streptomyces Yang Diiso</t>
  </si>
  <si>
    <t>Boom Tari Tradisi Menjadi Kearifan Lokal " Tari Turonggo Yakso"</t>
  </si>
  <si>
    <t xml:space="preserve">Persepsi Harmoni Dan Relasi Sosial Dalam Berbagai Ungkapan Tradisional Kelompok </t>
  </si>
  <si>
    <t>Eksplorasi Jus Rumput Laut Coklat (Sargassum Sp) Sebagai
Pangan Fungsional Berak</t>
  </si>
  <si>
    <t>Revitalisasi Community Based Health Care Intervention Untuk Memperkuat Tata Kelo</t>
  </si>
  <si>
    <t xml:space="preserve">Model Manajemen Dana Keistimewaan Untuk Peningkatan Kualitas Layanan Masyarakat
</t>
  </si>
  <si>
    <t>Strategi Peningkatan Efisiensi Protein Mikroba Dan Mitigasi Gas Methan Untuk Men</t>
  </si>
  <si>
    <t>Kecenderungan Kecurangan Akuntansi Pada Perusahaan</t>
  </si>
  <si>
    <t>Hubungan Parameter Biokimia Darah Terhadap Bioaktifitas
Antidiabetes Senyawa Alf</t>
  </si>
  <si>
    <t>Analisis Penerapan Imbalan Paska Kerja Karyawan Pada Yayasan Pendidikan Bhakti P</t>
  </si>
  <si>
    <t>Ekstraksi Silikon Oksida Dari Biomassa Alang-Alang</t>
  </si>
  <si>
    <t>Pengaruh Product Image Ukm Provinsi Jawa Timur Terhadap Keputusan Pembelian Prod</t>
  </si>
  <si>
    <t>Kajian Niat Mahasiswa Prodi Manajemen Dan Akuntansi Semester Viii Universitas Mu</t>
  </si>
  <si>
    <t>Strategi Guru Dalam Mengatasi Kesulitan Belajar Siswa Pada Mata Pelajaran Bahasa</t>
  </si>
  <si>
    <t>Analisis Pengaruh Self-Efficacy Dan Lingkungan Kerja Terhadap Kepuasan Kerja Per</t>
  </si>
  <si>
    <t>Peranan Pemerintahan Desa Dalam Pengendalian Dan Pengelolaan
Lingkungan Hidup Pe</t>
  </si>
  <si>
    <t>Ekspresi Budaya Dalam Tuturan Bahasa Madura Dan Bahasa Indonesia Pada Siswa
Sd/M</t>
  </si>
  <si>
    <t>Perlindungan Hak Konstitusional Masyarakat Hukum Adat Dalam Pengelolaan Hutan Ad</t>
  </si>
  <si>
    <t>Pengembangan Metoda Kultur Jaringan Pada Tanaman
Sorghum Melalui Somatik Embriog</t>
  </si>
  <si>
    <t>Studi Fenomenologi:  Analisis Keterampilan Dukun "Urut Tuka" Dalam Pemilihan Duk</t>
  </si>
  <si>
    <t>Metode E-Smart Reminder Untuk Pasien Prolanis</t>
  </si>
  <si>
    <t xml:space="preserve">Pengaruh Caring Based Training Perawat Terhadap Kepuasan Pasien Dalam Pelayanan </t>
  </si>
  <si>
    <t>Pembuatan Prototipe Simulasi Pergeseran Tanah Sebagai Media Uji Coba Sensor Lvdt</t>
  </si>
  <si>
    <t>Inovasi Kaldu Bubuk Nabati Tempe Semangit Kacang Hijau Berdasarkan Waktu Ferment</t>
  </si>
  <si>
    <t>Preparing Pre-Service English Teachers For 2013
Curriculum By Integrating Authen</t>
  </si>
  <si>
    <t>Implementasi Drone 3D Mapping Untuk Rekonstruksi Dan Mitigasi Bangunan Cagar Bud</t>
  </si>
  <si>
    <t>Peningkatan Unit Bisnis Usaha Mikro Kecil Menengah (Umkm) “Karang Tumaritis” Unt</t>
  </si>
  <si>
    <t>Ipteks Pengolahan Lindi Menjadi Pupuk Cair Di Tps-3R Kelurahan Talang Kelapa Kec</t>
  </si>
  <si>
    <t>Kategori</t>
  </si>
  <si>
    <t>TAHUN</t>
  </si>
  <si>
    <t>DURASI PENELITIAN (TAHUN)</t>
  </si>
  <si>
    <t>JENIS</t>
  </si>
  <si>
    <t>Jenis</t>
  </si>
  <si>
    <t>Nama Institusi</t>
  </si>
  <si>
    <t>Nama Pengusul</t>
  </si>
  <si>
    <t>NAMA PENGUSUL</t>
  </si>
  <si>
    <t>Judul</t>
  </si>
  <si>
    <t>Durasi Penelitian (Tahun)</t>
  </si>
  <si>
    <t>Status Usulan</t>
  </si>
  <si>
    <t>Pendanaan Biaya</t>
  </si>
  <si>
    <t>Ketut Putra Sedana</t>
  </si>
  <si>
    <t>Yustina Rada</t>
  </si>
  <si>
    <t>Lucien Pahala Sitanggang</t>
  </si>
  <si>
    <t>Sri Wahyuni</t>
  </si>
  <si>
    <t>Yeldi S. Adel</t>
  </si>
  <si>
    <t>Shafitranata</t>
  </si>
  <si>
    <t>Widati Amalin Ulfah</t>
  </si>
  <si>
    <t>Tarmizi</t>
  </si>
  <si>
    <t>Syaiful Pakaya, Se.,Mm</t>
  </si>
  <si>
    <t>Tory Ariyanto</t>
  </si>
  <si>
    <t>Dwi Desmiyeni
Putri</t>
  </si>
  <si>
    <t>Faisal Amri Tanjung</t>
  </si>
  <si>
    <t>Evi Zubaidah</t>
  </si>
  <si>
    <t>Azir Alfanan</t>
  </si>
  <si>
    <t>Lia Natalia</t>
  </si>
  <si>
    <t>Dadan Rosana</t>
  </si>
  <si>
    <t>Zurriat Nyndia Rahmawati</t>
  </si>
  <si>
    <t>Feliatra</t>
  </si>
  <si>
    <t>Berlintina Permatasari</t>
  </si>
  <si>
    <t>Dian Kusuma Wardani</t>
  </si>
  <si>
    <t>Ahmad Yusuf</t>
  </si>
  <si>
    <t>Dwita Suastiyanti</t>
  </si>
  <si>
    <t>Brigitta Ayu Dwi Susanti</t>
  </si>
  <si>
    <t>Sukriming Sapareng</t>
  </si>
  <si>
    <t>Septiani</t>
  </si>
  <si>
    <t>Irma Manda Negara</t>
  </si>
  <si>
    <t>Ratna Kumala Dewi</t>
  </si>
  <si>
    <t>Sirwan</t>
  </si>
  <si>
    <t>Nyoman Ayu Putri Lestari</t>
  </si>
  <si>
    <t>Maimuna Nontji</t>
  </si>
  <si>
    <t>Hasnita</t>
  </si>
  <si>
    <t>Novi Irwan Fauzi</t>
  </si>
  <si>
    <t>Nur Asmi</t>
  </si>
  <si>
    <t>Besly Yermy Tungaoly
Messakh</t>
  </si>
  <si>
    <t>Atikah Mumpuni</t>
  </si>
  <si>
    <t>Taufikkurrachm An</t>
  </si>
  <si>
    <t>Andicha Gustra Jeki</t>
  </si>
  <si>
    <t>Suharti</t>
  </si>
  <si>
    <t>Muhammad Duddy Satrianugraha
Wahidin</t>
  </si>
  <si>
    <t>Estu Handayani</t>
  </si>
  <si>
    <t>Debby Willar</t>
  </si>
  <si>
    <t>Y Y Fransciscus Regis Sunarjan</t>
  </si>
  <si>
    <t>I Gusti Ayu Agung Sinta
Diarini</t>
  </si>
  <si>
    <t>Ferry Hadary</t>
  </si>
  <si>
    <t>Denny Eko Wibowo</t>
  </si>
  <si>
    <t>Nur Kur'Ani</t>
  </si>
  <si>
    <t>Andi Aminah</t>
  </si>
  <si>
    <t>Henni Gusfa</t>
  </si>
  <si>
    <t>Mukhyiddin</t>
  </si>
  <si>
    <t>Dewi Wahyuni</t>
  </si>
  <si>
    <t>Rahmi Mudia Alti</t>
  </si>
  <si>
    <t>Agustinur</t>
  </si>
  <si>
    <t>Hary Saputra Sundoro</t>
  </si>
  <si>
    <t>Sheila Hani</t>
  </si>
  <si>
    <t>Yessy Prima Putri</t>
  </si>
  <si>
    <t>Suyadi</t>
  </si>
  <si>
    <t>Mujiati La Saadi</t>
  </si>
  <si>
    <t>Putriyani S</t>
  </si>
  <si>
    <t>Arief Budi Wicaksono</t>
  </si>
  <si>
    <t>Rakhmat Syaiful
Ramadhani</t>
  </si>
  <si>
    <t>Fx Nanang Sujatmiko</t>
  </si>
  <si>
    <t>Imam Prasetyo</t>
  </si>
  <si>
    <t>Agus Wijayanto</t>
  </si>
  <si>
    <t>Oktavina Kartika Putri</t>
  </si>
  <si>
    <t>Nurma Yunita Indriyanti</t>
  </si>
  <si>
    <t>Yohannes Firzal</t>
  </si>
  <si>
    <t>Ahmad Taufiq</t>
  </si>
  <si>
    <t>Hilda Sulistia Alam</t>
  </si>
  <si>
    <t>Nengke Puspita Sari</t>
  </si>
  <si>
    <t>Enny Zarvianti</t>
  </si>
  <si>
    <t>Krisna Yuwono Fora</t>
  </si>
  <si>
    <t>Fadhil Ilhamsyah</t>
  </si>
  <si>
    <t>Resti Yulistria</t>
  </si>
  <si>
    <t>Abdul Aziz</t>
  </si>
  <si>
    <t>Hadijah Azis Karim</t>
  </si>
  <si>
    <t>Miftachul Taubah</t>
  </si>
  <si>
    <t>Septina Severina Lumbantobing</t>
  </si>
  <si>
    <t>Andi Masniati</t>
  </si>
  <si>
    <t>Agustina M</t>
  </si>
  <si>
    <t>Kundharu Saddhono</t>
  </si>
  <si>
    <t>Eddy Agus Muharyanto</t>
  </si>
  <si>
    <t>Verry Aji Kurniawan</t>
  </si>
  <si>
    <t>Tri Arso</t>
  </si>
  <si>
    <t>Meita Rumbayan</t>
  </si>
  <si>
    <t>Basri</t>
  </si>
  <si>
    <t>Arfidian Rachman</t>
  </si>
  <si>
    <t>Jelita Panjaitan</t>
  </si>
  <si>
    <t>Irwan Ismail</t>
  </si>
  <si>
    <t>Retno Wahyuni</t>
  </si>
  <si>
    <t>Subuh Anggoro</t>
  </si>
  <si>
    <t>Pujiono</t>
  </si>
  <si>
    <t>Feni Kurnia</t>
  </si>
  <si>
    <t>Hanifah Ekawati Sibali</t>
  </si>
  <si>
    <t>Wiwik Sulistiyowati</t>
  </si>
  <si>
    <t>Azizil Fikri</t>
  </si>
  <si>
    <t>Hartati Ramli</t>
  </si>
  <si>
    <t>Ria Kasanova</t>
  </si>
  <si>
    <t>Fansuri Munawar</t>
  </si>
  <si>
    <t>PENERIMA PENDANAAN PENELITIAN</t>
  </si>
  <si>
    <t>PENERIMA PENDANAAN PENGABDIAN MASYARAKAT</t>
  </si>
  <si>
    <t>Count of STATUS USULAN</t>
  </si>
  <si>
    <t>Count of PTN / LLDIKTI</t>
  </si>
  <si>
    <t>Count of TAHUN</t>
  </si>
  <si>
    <t>NASIONAL</t>
  </si>
  <si>
    <t>KATEGORI INSTITUSI</t>
  </si>
  <si>
    <t>(All)</t>
  </si>
  <si>
    <t>Count of JUDUL</t>
  </si>
  <si>
    <t xml:space="preserve"> </t>
  </si>
  <si>
    <t>Count of NAMA INSTITUSI</t>
  </si>
  <si>
    <t>NAMA</t>
  </si>
  <si>
    <t>Column Labels</t>
  </si>
  <si>
    <t>Count of NAMA</t>
  </si>
  <si>
    <t>Home</t>
  </si>
  <si>
    <t>Database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</si>
</sst>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Rp-421]#,##0"/>
  </numFmts>
  <fonts count="10" x14ac:knownFonts="1">
    <font>
      <sz val="11"/>
      <color theme="1"/>
      <name val="Calibri"/>
      <family val="2"/>
      <scheme val="minor"/>
    </font>
    <font>
      <b/>
      <sz val="10"/>
      <name val="Times New Roman"/>
      <family val="1"/>
    </font>
    <font>
      <sz val="11"/>
      <color theme="0"/>
      <name val="Calibri"/>
      <family val="2"/>
      <scheme val="minor"/>
    </font>
    <font>
      <b/>
      <sz val="11"/>
      <color theme="1"/>
      <name val="Microsoft Sans Serif"/>
      <family val="2"/>
    </font>
    <font>
      <b/>
      <sz val="11"/>
      <color theme="4" tint="-0.249977111117893"/>
      <name val="Calibri"/>
      <family val="2"/>
      <scheme val="minor"/>
    </font>
    <font>
      <sz val="11"/>
      <color theme="4" tint="-0.249977111117893"/>
      <name val="Microsoft Sans Serif"/>
      <family val="2"/>
    </font>
    <font>
      <sz val="10"/>
      <color theme="1"/>
      <name val="Microsoft Sans Serif"/>
      <family val="2"/>
    </font>
    <font>
      <b/>
      <sz val="10"/>
      <color theme="8"/>
      <name val="Microsoft Sans Serif"/>
      <family val="2"/>
    </font>
    <font>
      <b/>
      <sz val="11"/>
      <color theme="4"/>
      <name val="Microsoft Sans Serif"/>
      <family val="2"/>
    </font>
    <font>
      <b/>
      <sz val="11"/>
      <color theme="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rgb="FFB4C5E7"/>
        <bgColor indexed="64"/>
      </patternFill>
    </fill>
  </fills>
  <borders count="41">
    <border>
      <left/>
      <right/>
      <top/>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style="medium">
        <color indexed="64"/>
      </top>
      <bottom/>
      <diagonal/>
    </border>
    <border>
      <left style="thin">
        <color rgb="FF000000"/>
      </left>
      <right style="medium">
        <color indexed="64"/>
      </right>
      <top style="medium">
        <color indexed="64"/>
      </top>
      <bottom/>
      <diagonal/>
    </border>
    <border>
      <left style="medium">
        <color indexed="64"/>
      </left>
      <right/>
      <top style="thin">
        <color rgb="FF000000"/>
      </top>
      <bottom/>
      <diagonal/>
    </border>
    <border>
      <left/>
      <right style="medium">
        <color indexed="64"/>
      </right>
      <top style="thin">
        <color rgb="FF000000"/>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22">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0" fillId="4" borderId="0" xfId="0" applyFill="1"/>
    <xf numFmtId="0" fontId="0" fillId="0" borderId="5" xfId="0" applyFont="1" applyBorder="1"/>
    <xf numFmtId="0" fontId="2" fillId="0" borderId="5" xfId="0" applyFont="1" applyBorder="1"/>
    <xf numFmtId="0" fontId="0" fillId="2" borderId="10" xfId="0" applyFont="1" applyFill="1" applyBorder="1" applyAlignment="1">
      <alignment horizontal="center" vertical="center" wrapText="1"/>
    </xf>
    <xf numFmtId="1" fontId="0" fillId="2" borderId="10" xfId="0" applyNumberFormat="1" applyFont="1" applyFill="1" applyBorder="1" applyAlignment="1">
      <alignment horizontal="center" vertical="center" wrapText="1"/>
    </xf>
    <xf numFmtId="0" fontId="0" fillId="0" borderId="1" xfId="0" applyFont="1" applyBorder="1" applyAlignment="1">
      <alignment horizontal="center" vertical="center" wrapText="1"/>
    </xf>
    <xf numFmtId="1" fontId="0" fillId="0" borderId="1" xfId="0" applyNumberFormat="1" applyFont="1" applyBorder="1" applyAlignment="1">
      <alignment horizontal="center" vertical="center" wrapText="1"/>
    </xf>
    <xf numFmtId="0" fontId="0" fillId="2" borderId="1" xfId="0" applyFont="1" applyFill="1" applyBorder="1" applyAlignment="1">
      <alignment horizontal="center" vertical="center" wrapText="1"/>
    </xf>
    <xf numFmtId="1" fontId="0" fillId="2" borderId="1" xfId="0" applyNumberFormat="1" applyFont="1" applyFill="1" applyBorder="1" applyAlignment="1">
      <alignment horizontal="center" vertical="center" wrapText="1"/>
    </xf>
    <xf numFmtId="0" fontId="2" fillId="4" borderId="0" xfId="0" applyFont="1" applyFill="1"/>
    <xf numFmtId="0" fontId="2" fillId="0" borderId="0" xfId="0" applyFont="1"/>
    <xf numFmtId="0" fontId="0" fillId="4" borderId="0" xfId="0" applyFont="1" applyFill="1"/>
    <xf numFmtId="0" fontId="0" fillId="0" borderId="0" xfId="0" applyFont="1"/>
    <xf numFmtId="0" fontId="0" fillId="0" borderId="7" xfId="0" applyFont="1" applyBorder="1"/>
    <xf numFmtId="0" fontId="1" fillId="6" borderId="2" xfId="0" applyFont="1" applyFill="1" applyBorder="1" applyAlignment="1">
      <alignment horizontal="center" vertical="center" wrapText="1"/>
    </xf>
    <xf numFmtId="0" fontId="1" fillId="6" borderId="15" xfId="0" applyFont="1" applyFill="1" applyBorder="1" applyAlignment="1">
      <alignment horizontal="center" vertical="center" wrapText="1"/>
    </xf>
    <xf numFmtId="0" fontId="1" fillId="6" borderId="16" xfId="0" applyFont="1" applyFill="1" applyBorder="1" applyAlignment="1">
      <alignment horizontal="center" vertical="center" wrapText="1"/>
    </xf>
    <xf numFmtId="0" fontId="0" fillId="2" borderId="17" xfId="0" applyFont="1" applyFill="1" applyBorder="1" applyAlignment="1">
      <alignment horizontal="center" vertical="center" wrapText="1"/>
    </xf>
    <xf numFmtId="164" fontId="0" fillId="2" borderId="18" xfId="0" applyNumberFormat="1" applyFont="1" applyFill="1" applyBorder="1" applyAlignment="1">
      <alignment horizontal="center" vertical="center" wrapText="1"/>
    </xf>
    <xf numFmtId="0" fontId="0" fillId="0" borderId="19" xfId="0" applyFont="1" applyBorder="1" applyAlignment="1">
      <alignment horizontal="center" vertical="center" wrapText="1"/>
    </xf>
    <xf numFmtId="164" fontId="0" fillId="0" borderId="20" xfId="0" applyNumberFormat="1" applyFont="1" applyBorder="1" applyAlignment="1">
      <alignment horizontal="center" vertical="center" wrapText="1"/>
    </xf>
    <xf numFmtId="0" fontId="0" fillId="2" borderId="19" xfId="0" applyFont="1" applyFill="1" applyBorder="1" applyAlignment="1">
      <alignment horizontal="center" vertical="center" wrapText="1"/>
    </xf>
    <xf numFmtId="164" fontId="0" fillId="2" borderId="20" xfId="0" applyNumberFormat="1" applyFont="1" applyFill="1" applyBorder="1" applyAlignment="1">
      <alignment horizontal="center" vertical="center" wrapText="1"/>
    </xf>
    <xf numFmtId="0" fontId="0" fillId="0" borderId="21" xfId="0" applyFont="1" applyBorder="1" applyAlignment="1">
      <alignment horizontal="center" vertical="center" wrapText="1"/>
    </xf>
    <xf numFmtId="0" fontId="0" fillId="0" borderId="22" xfId="0" applyFont="1" applyBorder="1" applyAlignment="1">
      <alignment horizontal="center" vertical="center" wrapText="1"/>
    </xf>
    <xf numFmtId="1" fontId="0" fillId="0" borderId="22" xfId="0" applyNumberFormat="1" applyFont="1" applyBorder="1" applyAlignment="1">
      <alignment horizontal="center" vertical="center" wrapText="1"/>
    </xf>
    <xf numFmtId="164" fontId="0" fillId="0" borderId="23" xfId="0" applyNumberFormat="1" applyFont="1" applyBorder="1" applyAlignment="1">
      <alignment horizontal="center" vertical="center" wrapText="1"/>
    </xf>
    <xf numFmtId="0" fontId="4" fillId="3" borderId="24" xfId="0" applyFont="1" applyFill="1" applyBorder="1"/>
    <xf numFmtId="0" fontId="4" fillId="3" borderId="25" xfId="0" applyFont="1" applyFill="1" applyBorder="1"/>
    <xf numFmtId="0" fontId="4" fillId="3" borderId="26" xfId="0" applyFont="1" applyFill="1" applyBorder="1"/>
    <xf numFmtId="0" fontId="7" fillId="3" borderId="27" xfId="0" applyFont="1" applyFill="1" applyBorder="1" applyAlignment="1">
      <alignment horizontal="center" vertical="center" wrapText="1"/>
    </xf>
    <xf numFmtId="0" fontId="4" fillId="3" borderId="27" xfId="0" applyFont="1" applyFill="1" applyBorder="1" applyAlignment="1">
      <alignment horizontal="center" vertical="center" wrapText="1"/>
    </xf>
    <xf numFmtId="0" fontId="4" fillId="3" borderId="28"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6" fillId="4" borderId="33" xfId="0" applyFont="1" applyFill="1" applyBorder="1" applyAlignment="1">
      <alignment horizontal="center" vertical="center" wrapText="1"/>
    </xf>
    <xf numFmtId="0" fontId="6" fillId="4" borderId="35" xfId="0" applyFont="1" applyFill="1" applyBorder="1" applyAlignment="1">
      <alignment horizontal="center" vertical="center" wrapText="1"/>
    </xf>
    <xf numFmtId="0" fontId="0" fillId="3" borderId="25" xfId="0" applyFill="1" applyBorder="1"/>
    <xf numFmtId="0" fontId="0" fillId="3" borderId="26" xfId="0" applyFill="1" applyBorder="1"/>
    <xf numFmtId="0" fontId="3" fillId="4" borderId="0" xfId="0" applyFont="1" applyFill="1"/>
    <xf numFmtId="0" fontId="0" fillId="4" borderId="0" xfId="0" applyFill="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6" xfId="0" applyBorder="1" applyAlignment="1">
      <alignment horizontal="center" vertical="center" wrapText="1"/>
    </xf>
    <xf numFmtId="0" fontId="0" fillId="0" borderId="0" xfId="0" applyBorder="1"/>
    <xf numFmtId="0" fontId="0" fillId="0" borderId="0" xfId="0" applyBorder="1"/>
    <xf numFmtId="0" fontId="9" fillId="0" borderId="0" xfId="0" applyFont="1" applyBorder="1"/>
    <xf numFmtId="0" fontId="0" fillId="0" borderId="0" xfId="0"/>
    <xf numFmtId="0" fontId="7" fillId="3" borderId="28"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6" fillId="4" borderId="11" xfId="0" applyFont="1" applyFill="1" applyBorder="1" applyAlignment="1">
      <alignment horizontal="center" vertical="center" wrapText="1"/>
    </xf>
    <xf numFmtId="0" fontId="6" fillId="4" borderId="34"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6" fillId="4" borderId="40" xfId="0" applyFont="1" applyFill="1" applyBorder="1" applyAlignment="1">
      <alignment horizontal="center" vertical="center" wrapText="1"/>
    </xf>
    <xf numFmtId="0" fontId="0" fillId="0" borderId="0" xfId="0" applyAlignment="1"/>
    <xf numFmtId="0" fontId="0" fillId="2" borderId="10" xfId="0" applyFont="1" applyFill="1" applyBorder="1" applyAlignment="1">
      <alignment horizontal="center" vertical="center"/>
    </xf>
    <xf numFmtId="0" fontId="0" fillId="0" borderId="1" xfId="0" applyFont="1" applyBorder="1" applyAlignment="1">
      <alignment horizontal="center" vertical="center"/>
    </xf>
    <xf numFmtId="0" fontId="0" fillId="2" borderId="1" xfId="0" applyFont="1" applyFill="1" applyBorder="1" applyAlignment="1">
      <alignment horizontal="center" vertical="center"/>
    </xf>
    <xf numFmtId="0" fontId="0" fillId="0" borderId="22" xfId="0" applyFont="1" applyBorder="1" applyAlignment="1">
      <alignment horizontal="center" vertical="center"/>
    </xf>
    <xf numFmtId="0" fontId="8" fillId="3" borderId="0" xfId="0" applyFont="1" applyFill="1" applyBorder="1" applyAlignment="1">
      <alignment horizontal="center" vertical="center"/>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0" fillId="5" borderId="2" xfId="0" applyFill="1" applyBorder="1" applyAlignment="1">
      <alignment horizontal="center"/>
    </xf>
    <xf numFmtId="0" fontId="0" fillId="5" borderId="3" xfId="0" applyFill="1" applyBorder="1" applyAlignment="1">
      <alignment horizontal="center"/>
    </xf>
    <xf numFmtId="0" fontId="0" fillId="5" borderId="5" xfId="0" applyFill="1" applyBorder="1" applyAlignment="1">
      <alignment horizontal="center"/>
    </xf>
    <xf numFmtId="0" fontId="0" fillId="5" borderId="0" xfId="0" applyFill="1" applyBorder="1" applyAlignment="1">
      <alignment horizontal="center"/>
    </xf>
    <xf numFmtId="0" fontId="6" fillId="4" borderId="12" xfId="0" applyFont="1" applyFill="1" applyBorder="1" applyAlignment="1">
      <alignment horizontal="center" vertical="center" wrapText="1"/>
    </xf>
    <xf numFmtId="0" fontId="6" fillId="4" borderId="14"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37" xfId="0" applyFont="1" applyFill="1" applyBorder="1" applyAlignment="1">
      <alignment horizontal="center" vertical="center" wrapText="1"/>
    </xf>
    <xf numFmtId="0" fontId="6" fillId="4" borderId="39" xfId="0" applyFont="1" applyFill="1" applyBorder="1" applyAlignment="1">
      <alignment horizontal="center" vertical="center" wrapText="1"/>
    </xf>
    <xf numFmtId="0" fontId="6" fillId="4" borderId="38" xfId="0" applyFont="1" applyFill="1" applyBorder="1" applyAlignment="1">
      <alignment horizontal="center" vertical="center" wrapText="1"/>
    </xf>
    <xf numFmtId="0" fontId="4" fillId="3" borderId="29" xfId="0" applyFont="1" applyFill="1" applyBorder="1" applyAlignment="1">
      <alignment horizontal="center" vertical="center"/>
    </xf>
    <xf numFmtId="0" fontId="4" fillId="3" borderId="31" xfId="0" applyFont="1" applyFill="1" applyBorder="1" applyAlignment="1">
      <alignment horizontal="center" vertical="center"/>
    </xf>
    <xf numFmtId="0" fontId="4" fillId="3" borderId="30" xfId="0" applyFont="1" applyFill="1" applyBorder="1" applyAlignment="1">
      <alignment horizontal="center" vertical="center"/>
    </xf>
    <xf numFmtId="0" fontId="4" fillId="3" borderId="29" xfId="0" applyFont="1" applyFill="1" applyBorder="1" applyAlignment="1">
      <alignment horizontal="center" vertical="center" wrapText="1"/>
    </xf>
    <xf numFmtId="0" fontId="4" fillId="3" borderId="30" xfId="0" applyFont="1" applyFill="1" applyBorder="1" applyAlignment="1">
      <alignment horizontal="center" vertical="center" wrapText="1"/>
    </xf>
    <xf numFmtId="0" fontId="5" fillId="3" borderId="24" xfId="0" applyFont="1" applyFill="1" applyBorder="1" applyAlignment="1">
      <alignment horizontal="center"/>
    </xf>
    <xf numFmtId="0" fontId="5" fillId="3" borderId="25" xfId="0" applyFont="1"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5" xfId="0" applyFill="1" applyBorder="1" applyAlignment="1">
      <alignment horizontal="center"/>
    </xf>
    <xf numFmtId="0" fontId="0" fillId="3" borderId="0" xfId="0" applyFill="1" applyBorder="1" applyAlignment="1">
      <alignment horizontal="center"/>
    </xf>
    <xf numFmtId="0" fontId="8" fillId="5" borderId="3" xfId="0" applyFont="1" applyFill="1" applyBorder="1" applyAlignment="1">
      <alignment horizontal="center" vertical="center" wrapText="1"/>
    </xf>
    <xf numFmtId="0" fontId="8" fillId="5" borderId="0" xfId="0" applyFont="1" applyFill="1" applyBorder="1" applyAlignment="1">
      <alignment horizontal="center" vertical="center" wrapText="1"/>
    </xf>
    <xf numFmtId="0" fontId="0" fillId="4" borderId="25" xfId="0" applyFill="1" applyBorder="1" applyAlignment="1">
      <alignment horizontal="center"/>
    </xf>
    <xf numFmtId="0" fontId="0" fillId="4" borderId="26" xfId="0" applyFill="1" applyBorder="1" applyAlignment="1">
      <alignment horizontal="center"/>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7" fillId="3" borderId="29"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0" xfId="0" applyFont="1" applyFill="1" applyBorder="1" applyAlignment="1">
      <alignment horizontal="center" vertical="center"/>
    </xf>
    <xf numFmtId="0" fontId="8" fillId="3" borderId="0" xfId="0" applyFont="1" applyFill="1" applyBorder="1" applyAlignment="1">
      <alignment horizontal="center"/>
    </xf>
    <xf numFmtId="0" fontId="6" fillId="4" borderId="11" xfId="0" applyFont="1" applyFill="1" applyBorder="1" applyAlignment="1">
      <alignment horizontal="center" vertical="center" wrapText="1"/>
    </xf>
    <xf numFmtId="0" fontId="6" fillId="4" borderId="34"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6" fillId="4" borderId="40" xfId="0" applyFont="1" applyFill="1" applyBorder="1" applyAlignment="1">
      <alignment horizontal="center" vertical="center" wrapText="1"/>
    </xf>
    <xf numFmtId="0" fontId="7" fillId="3" borderId="28"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8" fillId="5" borderId="0" xfId="0" applyFont="1" applyFill="1" applyBorder="1" applyAlignment="1">
      <alignment horizontal="center" vertical="center"/>
    </xf>
    <xf numFmtId="0" fontId="8" fillId="3" borderId="0" xfId="0" applyFont="1" applyFill="1" applyBorder="1" applyAlignment="1">
      <alignment horizontal="center" vertical="center"/>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5" borderId="0" xfId="0" applyFont="1" applyFill="1" applyAlignment="1">
      <alignment horizontal="center" vertical="center" wrapText="1"/>
    </xf>
    <xf numFmtId="0" fontId="8" fillId="3" borderId="0" xfId="0" applyFont="1" applyFill="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3" borderId="5" xfId="0" applyFill="1" applyBorder="1" applyAlignment="1">
      <alignment horizontal="center" vertical="center" wrapText="1"/>
    </xf>
    <xf numFmtId="0" fontId="0" fillId="3" borderId="0" xfId="0" applyFill="1" applyBorder="1" applyAlignment="1">
      <alignment horizontal="center" vertical="center" wrapText="1"/>
    </xf>
  </cellXfs>
  <cellStyles count="1">
    <cellStyle name="Normal" xfId="0" builtinId="0"/>
  </cellStyles>
  <dxfs count="2">
    <dxf>
      <font>
        <color rgb="FF9C0006"/>
      </font>
      <fill>
        <patternFill>
          <bgColor rgb="FFFFC7CE"/>
        </patternFill>
      </fill>
    </dxf>
    <dxf>
      <font>
        <color theme="0"/>
      </font>
      <fill>
        <patternFill>
          <bgColor theme="1" tint="0.24994659260841701"/>
        </patternFill>
      </fill>
    </dxf>
  </dxfs>
  <tableStyles count="1" defaultTableStyle="TableStyleMedium2" defaultPivotStyle="PivotStyleLight16">
    <tableStyle name="Slicer Style 1" pivot="0" table="0" count="4">
      <tableStyleElement type="headerRow" dxfId="1"/>
    </tableStyle>
  </tableStyles>
  <colors>
    <mruColors>
      <color rgb="FFCCCCFF"/>
    </mruColors>
  </colors>
  <extLst>
    <ext xmlns:x14="http://schemas.microsoft.com/office/spreadsheetml/2009/9/main" uri="{46F421CA-312F-682f-3DD2-61675219B42D}">
      <x14:dxfs count="2">
        <dxf>
          <font>
            <color auto="1"/>
          </font>
          <fill>
            <patternFill>
              <bgColor theme="2" tint="-9.9948118533890809E-2"/>
            </patternFill>
          </fill>
        </dxf>
        <dxf>
          <font>
            <color theme="0"/>
          </font>
          <fill>
            <patternFill>
              <bgColor theme="1"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unselectedItemWithNoData"/>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7/relationships/slicerCache" Target="slicerCaches/slicerCache6.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Performa!PivotTable3</c:name>
    <c:fmtId val="7"/>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s>
    <c:plotArea>
      <c:layout/>
      <c:lineChart>
        <c:grouping val="stacked"/>
        <c:varyColors val="0"/>
        <c:ser>
          <c:idx val="0"/>
          <c:order val="0"/>
          <c:tx>
            <c:strRef>
              <c:f>'Grafik Performa'!$F$48:$F$49</c:f>
              <c:strCache>
                <c:ptCount val="1"/>
                <c:pt idx="0">
                  <c:v>Penelitian</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Performa'!$E$50:$E$54</c:f>
              <c:strCache>
                <c:ptCount val="4"/>
                <c:pt idx="0">
                  <c:v>2017</c:v>
                </c:pt>
                <c:pt idx="1">
                  <c:v>2018</c:v>
                </c:pt>
                <c:pt idx="2">
                  <c:v>2019</c:v>
                </c:pt>
                <c:pt idx="3">
                  <c:v>2020</c:v>
                </c:pt>
              </c:strCache>
            </c:strRef>
          </c:cat>
          <c:val>
            <c:numRef>
              <c:f>'Grafik Performa'!$F$50:$F$54</c:f>
              <c:numCache>
                <c:formatCode>General</c:formatCode>
                <c:ptCount val="4"/>
                <c:pt idx="0">
                  <c:v>1</c:v>
                </c:pt>
                <c:pt idx="1">
                  <c:v>1</c:v>
                </c:pt>
                <c:pt idx="2">
                  <c:v>2</c:v>
                </c:pt>
                <c:pt idx="3">
                  <c:v>2</c:v>
                </c:pt>
              </c:numCache>
            </c:numRef>
          </c:val>
          <c:smooth val="0"/>
        </c:ser>
        <c:ser>
          <c:idx val="1"/>
          <c:order val="1"/>
          <c:tx>
            <c:strRef>
              <c:f>'Grafik Performa'!$G$48:$G$49</c:f>
              <c:strCache>
                <c:ptCount val="1"/>
                <c:pt idx="0">
                  <c:v>Pengabdian Masyarakat</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'Grafik Performa'!$E$50:$E$54</c:f>
              <c:strCache>
                <c:ptCount val="4"/>
                <c:pt idx="0">
                  <c:v>2017</c:v>
                </c:pt>
                <c:pt idx="1">
                  <c:v>2018</c:v>
                </c:pt>
                <c:pt idx="2">
                  <c:v>2019</c:v>
                </c:pt>
                <c:pt idx="3">
                  <c:v>2020</c:v>
                </c:pt>
              </c:strCache>
            </c:strRef>
          </c:cat>
          <c:val>
            <c:numRef>
              <c:f>'Grafik Performa'!$G$50:$G$54</c:f>
              <c:numCache>
                <c:formatCode>General</c:formatCode>
                <c:ptCount val="4"/>
                <c:pt idx="0">
                  <c:v>2</c:v>
                </c:pt>
                <c:pt idx="1">
                  <c:v>1</c:v>
                </c:pt>
                <c:pt idx="2">
                  <c:v>1</c:v>
                </c:pt>
                <c:pt idx="3">
                  <c:v>2</c:v>
                </c:pt>
              </c:numCache>
            </c:numRef>
          </c:val>
          <c:smooth val="0"/>
        </c:ser>
        <c:dLbls>
          <c:showLegendKey val="0"/>
          <c:showVal val="0"/>
          <c:showCatName val="0"/>
          <c:showSerName val="0"/>
          <c:showPercent val="0"/>
          <c:showBubbleSize val="0"/>
        </c:dLbls>
        <c:marker val="1"/>
        <c:smooth val="0"/>
        <c:axId val="3778736"/>
        <c:axId val="225558576"/>
      </c:lineChart>
      <c:catAx>
        <c:axId val="3778736"/>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25558576"/>
        <c:crosses val="autoZero"/>
        <c:auto val="1"/>
        <c:lblAlgn val="ctr"/>
        <c:lblOffset val="100"/>
        <c:noMultiLvlLbl val="0"/>
      </c:catAx>
      <c:valAx>
        <c:axId val="225558576"/>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3778736"/>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Performa!PivotTable1</c:name>
    <c:fmtId val="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SKEMA </a:t>
            </a:r>
            <a:r>
              <a:rPr lang="en-US" sz="1400" b="1" i="0" u="none" strike="noStrike" cap="none" baseline="0">
                <a:effectLst/>
              </a:rPr>
              <a:t>Penelitian</a:t>
            </a:r>
            <a:r>
              <a:rPr lang="en-US" baseline="0"/>
              <a:t> yang Terdanai Per Tahun</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Performa'!$F$3:$F$4</c:f>
              <c:strCache>
                <c:ptCount val="1"/>
                <c:pt idx="0">
                  <c:v>Penelitian Dosen Pemula</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Performa'!$E$5:$E$9</c:f>
              <c:strCache>
                <c:ptCount val="4"/>
                <c:pt idx="0">
                  <c:v>2017</c:v>
                </c:pt>
                <c:pt idx="1">
                  <c:v>2018</c:v>
                </c:pt>
                <c:pt idx="2">
                  <c:v>2019</c:v>
                </c:pt>
                <c:pt idx="3">
                  <c:v>2020</c:v>
                </c:pt>
              </c:strCache>
            </c:strRef>
          </c:cat>
          <c:val>
            <c:numRef>
              <c:f>'Grafik Performa'!$F$5:$F$9</c:f>
              <c:numCache>
                <c:formatCode>General</c:formatCode>
                <c:ptCount val="4"/>
                <c:pt idx="0">
                  <c:v>1</c:v>
                </c:pt>
                <c:pt idx="2">
                  <c:v>2</c:v>
                </c:pt>
                <c:pt idx="3">
                  <c:v>2</c:v>
                </c:pt>
              </c:numCache>
            </c:numRef>
          </c:val>
          <c:smooth val="0"/>
        </c:ser>
        <c:ser>
          <c:idx val="1"/>
          <c:order val="1"/>
          <c:tx>
            <c:strRef>
              <c:f>'Grafik Performa'!$G$3:$G$4</c:f>
              <c:strCache>
                <c:ptCount val="1"/>
                <c:pt idx="0">
                  <c:v>Penelitian Tesis Magister</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Performa'!$E$5:$E$9</c:f>
              <c:strCache>
                <c:ptCount val="4"/>
                <c:pt idx="0">
                  <c:v>2017</c:v>
                </c:pt>
                <c:pt idx="1">
                  <c:v>2018</c:v>
                </c:pt>
                <c:pt idx="2">
                  <c:v>2019</c:v>
                </c:pt>
                <c:pt idx="3">
                  <c:v>2020</c:v>
                </c:pt>
              </c:strCache>
            </c:strRef>
          </c:cat>
          <c:val>
            <c:numRef>
              <c:f>'Grafik Performa'!$G$5:$G$9</c:f>
              <c:numCache>
                <c:formatCode>General</c:formatCode>
                <c:ptCount val="4"/>
                <c:pt idx="1">
                  <c:v>1</c:v>
                </c:pt>
              </c:numCache>
            </c:numRef>
          </c:val>
          <c:smooth val="0"/>
        </c:ser>
        <c:dLbls>
          <c:dLblPos val="t"/>
          <c:showLegendKey val="0"/>
          <c:showVal val="1"/>
          <c:showCatName val="0"/>
          <c:showSerName val="0"/>
          <c:showPercent val="0"/>
          <c:showBubbleSize val="0"/>
        </c:dLbls>
        <c:marker val="1"/>
        <c:smooth val="0"/>
        <c:axId val="225561936"/>
        <c:axId val="225562496"/>
      </c:lineChart>
      <c:catAx>
        <c:axId val="2255619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5562496"/>
        <c:crosses val="autoZero"/>
        <c:auto val="1"/>
        <c:lblAlgn val="ctr"/>
        <c:lblOffset val="100"/>
        <c:noMultiLvlLbl val="0"/>
      </c:catAx>
      <c:valAx>
        <c:axId val="225562496"/>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crossAx val="225561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Performa!PivotTable2</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SKEMA</a:t>
            </a:r>
            <a:r>
              <a:rPr lang="en-US" baseline="0"/>
              <a:t> </a:t>
            </a:r>
            <a:r>
              <a:rPr lang="en-US" sz="1400" b="1" i="0" u="none" strike="noStrike" cap="none" baseline="0">
                <a:effectLst/>
              </a:rPr>
              <a:t>Pengabdian Masyarakat </a:t>
            </a:r>
            <a:r>
              <a:rPr lang="en-US" baseline="0"/>
              <a:t>yang Terdanai Per Tahun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Performa'!$F$26:$F$27</c:f>
              <c:strCache>
                <c:ptCount val="1"/>
                <c:pt idx="0">
                  <c:v>PKM</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Performa'!$E$28:$E$32</c:f>
              <c:strCache>
                <c:ptCount val="4"/>
                <c:pt idx="0">
                  <c:v>2017</c:v>
                </c:pt>
                <c:pt idx="1">
                  <c:v>2018</c:v>
                </c:pt>
                <c:pt idx="2">
                  <c:v>2019</c:v>
                </c:pt>
                <c:pt idx="3">
                  <c:v>2020</c:v>
                </c:pt>
              </c:strCache>
            </c:strRef>
          </c:cat>
          <c:val>
            <c:numRef>
              <c:f>'Grafik Performa'!$F$28:$F$32</c:f>
              <c:numCache>
                <c:formatCode>General</c:formatCode>
                <c:ptCount val="4"/>
                <c:pt idx="1">
                  <c:v>1</c:v>
                </c:pt>
                <c:pt idx="2">
                  <c:v>1</c:v>
                </c:pt>
                <c:pt idx="3">
                  <c:v>1</c:v>
                </c:pt>
              </c:numCache>
            </c:numRef>
          </c:val>
          <c:smooth val="0"/>
        </c:ser>
        <c:ser>
          <c:idx val="1"/>
          <c:order val="1"/>
          <c:tx>
            <c:strRef>
              <c:f>'Grafik Performa'!$G$26:$G$27</c:f>
              <c:strCache>
                <c:ptCount val="1"/>
                <c:pt idx="0">
                  <c:v>PPDM</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Performa'!$E$28:$E$32</c:f>
              <c:strCache>
                <c:ptCount val="4"/>
                <c:pt idx="0">
                  <c:v>2017</c:v>
                </c:pt>
                <c:pt idx="1">
                  <c:v>2018</c:v>
                </c:pt>
                <c:pt idx="2">
                  <c:v>2019</c:v>
                </c:pt>
                <c:pt idx="3">
                  <c:v>2020</c:v>
                </c:pt>
              </c:strCache>
            </c:strRef>
          </c:cat>
          <c:val>
            <c:numRef>
              <c:f>'Grafik Performa'!$G$28:$G$32</c:f>
              <c:numCache>
                <c:formatCode>General</c:formatCode>
                <c:ptCount val="4"/>
                <c:pt idx="0">
                  <c:v>1</c:v>
                </c:pt>
                <c:pt idx="3">
                  <c:v>1</c:v>
                </c:pt>
              </c:numCache>
            </c:numRef>
          </c:val>
          <c:smooth val="0"/>
        </c:ser>
        <c:ser>
          <c:idx val="2"/>
          <c:order val="2"/>
          <c:tx>
            <c:strRef>
              <c:f>'Grafik Performa'!$H$26:$H$27</c:f>
              <c:strCache>
                <c:ptCount val="1"/>
                <c:pt idx="0">
                  <c:v>PPUPIK</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Performa'!$E$28:$E$32</c:f>
              <c:strCache>
                <c:ptCount val="4"/>
                <c:pt idx="0">
                  <c:v>2017</c:v>
                </c:pt>
                <c:pt idx="1">
                  <c:v>2018</c:v>
                </c:pt>
                <c:pt idx="2">
                  <c:v>2019</c:v>
                </c:pt>
                <c:pt idx="3">
                  <c:v>2020</c:v>
                </c:pt>
              </c:strCache>
            </c:strRef>
          </c:cat>
          <c:val>
            <c:numRef>
              <c:f>'Grafik Performa'!$H$28:$H$32</c:f>
              <c:numCache>
                <c:formatCode>General</c:formatCode>
                <c:ptCount val="4"/>
                <c:pt idx="0">
                  <c:v>1</c:v>
                </c:pt>
              </c:numCache>
            </c:numRef>
          </c:val>
          <c:smooth val="0"/>
        </c:ser>
        <c:dLbls>
          <c:dLblPos val="t"/>
          <c:showLegendKey val="0"/>
          <c:showVal val="1"/>
          <c:showCatName val="0"/>
          <c:showSerName val="0"/>
          <c:showPercent val="0"/>
          <c:showBubbleSize val="0"/>
        </c:dLbls>
        <c:marker val="1"/>
        <c:smooth val="0"/>
        <c:axId val="225565856"/>
        <c:axId val="225566416"/>
      </c:lineChart>
      <c:catAx>
        <c:axId val="2255658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5566416"/>
        <c:crosses val="autoZero"/>
        <c:auto val="1"/>
        <c:lblAlgn val="ctr"/>
        <c:lblOffset val="100"/>
        <c:noMultiLvlLbl val="0"/>
      </c:catAx>
      <c:valAx>
        <c:axId val="225566416"/>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crossAx val="22556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Performa!PivotTable3</c:name>
    <c:fmtId val="1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Jumlah</a:t>
            </a:r>
            <a:r>
              <a:rPr lang="en-US" baseline="0"/>
              <a:t> Penelitian dan Pengabdian Masyarakat Per Tahun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Performa'!$F$48:$F$49</c:f>
              <c:strCache>
                <c:ptCount val="1"/>
                <c:pt idx="0">
                  <c:v>Penelitian</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Performa'!$E$50:$E$54</c:f>
              <c:strCache>
                <c:ptCount val="4"/>
                <c:pt idx="0">
                  <c:v>2017</c:v>
                </c:pt>
                <c:pt idx="1">
                  <c:v>2018</c:v>
                </c:pt>
                <c:pt idx="2">
                  <c:v>2019</c:v>
                </c:pt>
                <c:pt idx="3">
                  <c:v>2020</c:v>
                </c:pt>
              </c:strCache>
            </c:strRef>
          </c:cat>
          <c:val>
            <c:numRef>
              <c:f>'Grafik Performa'!$F$50:$F$54</c:f>
              <c:numCache>
                <c:formatCode>General</c:formatCode>
                <c:ptCount val="4"/>
                <c:pt idx="0">
                  <c:v>1</c:v>
                </c:pt>
                <c:pt idx="1">
                  <c:v>1</c:v>
                </c:pt>
                <c:pt idx="2">
                  <c:v>2</c:v>
                </c:pt>
                <c:pt idx="3">
                  <c:v>2</c:v>
                </c:pt>
              </c:numCache>
            </c:numRef>
          </c:val>
          <c:smooth val="0"/>
        </c:ser>
        <c:ser>
          <c:idx val="1"/>
          <c:order val="1"/>
          <c:tx>
            <c:strRef>
              <c:f>'Grafik Performa'!$G$48:$G$49</c:f>
              <c:strCache>
                <c:ptCount val="1"/>
                <c:pt idx="0">
                  <c:v>Pengabdian Masyarakat</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Performa'!$E$50:$E$54</c:f>
              <c:strCache>
                <c:ptCount val="4"/>
                <c:pt idx="0">
                  <c:v>2017</c:v>
                </c:pt>
                <c:pt idx="1">
                  <c:v>2018</c:v>
                </c:pt>
                <c:pt idx="2">
                  <c:v>2019</c:v>
                </c:pt>
                <c:pt idx="3">
                  <c:v>2020</c:v>
                </c:pt>
              </c:strCache>
            </c:strRef>
          </c:cat>
          <c:val>
            <c:numRef>
              <c:f>'Grafik Performa'!$G$50:$G$54</c:f>
              <c:numCache>
                <c:formatCode>General</c:formatCode>
                <c:ptCount val="4"/>
                <c:pt idx="0">
                  <c:v>2</c:v>
                </c:pt>
                <c:pt idx="1">
                  <c:v>1</c:v>
                </c:pt>
                <c:pt idx="2">
                  <c:v>1</c:v>
                </c:pt>
                <c:pt idx="3">
                  <c:v>2</c:v>
                </c:pt>
              </c:numCache>
            </c:numRef>
          </c:val>
          <c:smooth val="0"/>
        </c:ser>
        <c:dLbls>
          <c:dLblPos val="t"/>
          <c:showLegendKey val="0"/>
          <c:showVal val="1"/>
          <c:showCatName val="0"/>
          <c:showSerName val="0"/>
          <c:showPercent val="0"/>
          <c:showBubbleSize val="0"/>
        </c:dLbls>
        <c:marker val="1"/>
        <c:smooth val="0"/>
        <c:axId val="225569216"/>
        <c:axId val="225569776"/>
      </c:lineChart>
      <c:catAx>
        <c:axId val="22556921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5569776"/>
        <c:crosses val="autoZero"/>
        <c:auto val="1"/>
        <c:lblAlgn val="ctr"/>
        <c:lblOffset val="100"/>
        <c:noMultiLvlLbl val="0"/>
      </c:catAx>
      <c:valAx>
        <c:axId val="225569776"/>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crossAx val="225569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Penelitian!PivotTable7</c:name>
    <c:fmtId val="1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PENELITIAN TERDANAI</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'Grafik Penelitian'!$B$48</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Penelitian'!$A$49:$A$50</c:f>
              <c:strCache>
                <c:ptCount val="1"/>
                <c:pt idx="0">
                  <c:v>2019</c:v>
                </c:pt>
              </c:strCache>
            </c:strRef>
          </c:cat>
          <c:val>
            <c:numRef>
              <c:f>'Grafik Penelitian'!$B$49:$B$50</c:f>
              <c:numCache>
                <c:formatCode>General</c:formatCode>
                <c:ptCount val="1"/>
                <c:pt idx="0">
                  <c:v>20</c:v>
                </c:pt>
              </c:numCache>
            </c:numRef>
          </c:val>
          <c:smooth val="0"/>
          <c:extLst xmlns:c16r2="http://schemas.microsoft.com/office/drawing/2015/06/chart">
            <c:ext xmlns:c16="http://schemas.microsoft.com/office/drawing/2014/chart" uri="{C3380CC4-5D6E-409C-BE32-E72D297353CC}">
              <c16:uniqueId val="{00000000-0661-42B9-9769-7C46581F3444}"/>
            </c:ext>
          </c:extLst>
        </c:ser>
        <c:dLbls>
          <c:showLegendKey val="0"/>
          <c:showVal val="0"/>
          <c:showCatName val="0"/>
          <c:showSerName val="0"/>
          <c:showPercent val="0"/>
          <c:showBubbleSize val="0"/>
        </c:dLbls>
        <c:upDownBars>
          <c:gapWidth val="315"/>
          <c:upBars>
            <c:spPr>
              <a:solidFill>
                <a:schemeClr val="lt1">
                  <a:lumMod val="85000"/>
                </a:schemeClr>
              </a:solidFill>
              <a:ln w="9525">
                <a:solidFill>
                  <a:schemeClr val="dk1">
                    <a:lumMod val="50000"/>
                  </a:schemeClr>
                </a:solidFill>
                <a:round/>
              </a:ln>
              <a:effectLst/>
            </c:spPr>
          </c:upBars>
          <c:downBars>
            <c:spPr>
              <a:solidFill>
                <a:schemeClr val="dk1">
                  <a:lumMod val="50000"/>
                  <a:lumOff val="50000"/>
                </a:schemeClr>
              </a:solidFill>
              <a:ln w="9525">
                <a:solidFill>
                  <a:schemeClr val="dk1">
                    <a:lumMod val="75000"/>
                  </a:schemeClr>
                </a:solidFill>
                <a:round/>
              </a:ln>
              <a:effectLst/>
            </c:spPr>
          </c:downBars>
        </c:upDownBars>
        <c:marker val="1"/>
        <c:smooth val="0"/>
        <c:axId val="249737744"/>
        <c:axId val="249738304"/>
      </c:lineChart>
      <c:catAx>
        <c:axId val="249737744"/>
        <c:scaling>
          <c:orientation val="minMax"/>
        </c:scaling>
        <c:delete val="1"/>
        <c:axPos val="b"/>
        <c:numFmt formatCode="General" sourceLinked="1"/>
        <c:majorTickMark val="out"/>
        <c:minorTickMark val="none"/>
        <c:tickLblPos val="nextTo"/>
        <c:crossAx val="249738304"/>
        <c:crosses val="autoZero"/>
        <c:auto val="1"/>
        <c:lblAlgn val="ctr"/>
        <c:lblOffset val="100"/>
        <c:noMultiLvlLbl val="0"/>
      </c:catAx>
      <c:valAx>
        <c:axId val="249738304"/>
        <c:scaling>
          <c:orientation val="minMax"/>
          <c:max val="30"/>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crossAx val="249737744"/>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Penelitian!PivotTable7</c:name>
    <c:fmtId val="2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PENELITIAN</a:t>
            </a:r>
            <a:r>
              <a:rPr lang="en-US" baseline="0"/>
              <a:t> TERDANAI</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cked"/>
        <c:varyColors val="0"/>
        <c:ser>
          <c:idx val="0"/>
          <c:order val="0"/>
          <c:tx>
            <c:strRef>
              <c:f>'Grafik Penelitian'!$B$48</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Penelitian'!$A$49:$A$50</c:f>
              <c:strCache>
                <c:ptCount val="1"/>
                <c:pt idx="0">
                  <c:v>2019</c:v>
                </c:pt>
              </c:strCache>
            </c:strRef>
          </c:cat>
          <c:val>
            <c:numRef>
              <c:f>'Grafik Penelitian'!$B$49:$B$50</c:f>
              <c:numCache>
                <c:formatCode>General</c:formatCode>
                <c:ptCount val="1"/>
                <c:pt idx="0">
                  <c:v>20</c:v>
                </c:pt>
              </c:numCache>
            </c:numRef>
          </c:val>
          <c:smooth val="0"/>
          <c:extLst xmlns:c16r2="http://schemas.microsoft.com/office/drawing/2015/06/chart">
            <c:ext xmlns:c16="http://schemas.microsoft.com/office/drawing/2014/chart" uri="{C3380CC4-5D6E-409C-BE32-E72D297353CC}">
              <c16:uniqueId val="{00000000-0D5C-4ADB-8C36-46065CC72EC2}"/>
            </c:ext>
          </c:extLst>
        </c:ser>
        <c:dLbls>
          <c:showLegendKey val="0"/>
          <c:showVal val="0"/>
          <c:showCatName val="0"/>
          <c:showSerName val="0"/>
          <c:showPercent val="0"/>
          <c:showBubbleSize val="0"/>
        </c:dLbls>
        <c:marker val="1"/>
        <c:smooth val="0"/>
        <c:axId val="249741104"/>
        <c:axId val="249741664"/>
      </c:lineChart>
      <c:catAx>
        <c:axId val="249741104"/>
        <c:scaling>
          <c:orientation val="minMax"/>
        </c:scaling>
        <c:delete val="1"/>
        <c:axPos val="b"/>
        <c:numFmt formatCode="General" sourceLinked="1"/>
        <c:majorTickMark val="none"/>
        <c:minorTickMark val="none"/>
        <c:tickLblPos val="nextTo"/>
        <c:crossAx val="249741664"/>
        <c:crosses val="autoZero"/>
        <c:auto val="1"/>
        <c:lblAlgn val="ctr"/>
        <c:lblOffset val="100"/>
        <c:noMultiLvlLbl val="0"/>
      </c:catAx>
      <c:valAx>
        <c:axId val="249741664"/>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49741104"/>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Penelitian!PivotTable9</c:name>
    <c:fmtId val="5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PENDANAAN PENELITIAN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Penelitian'!$B$58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'Grafik Penelitian'!$A$59:$A$60</c:f>
              <c:strCache>
                <c:ptCount val="1"/>
                <c:pt idx="0">
                  <c:v>2019</c:v>
                </c:pt>
              </c:strCache>
            </c:strRef>
          </c:cat>
          <c:val>
            <c:numRef>
              <c:f>'Grafik Penelitian'!$B$59:$B$60</c:f>
              <c:numCache>
                <c:formatCode>General</c:formatCode>
                <c:ptCount val="1"/>
                <c:pt idx="0">
                  <c:v>1218000000</c:v>
                </c:pt>
              </c:numCache>
            </c:numRef>
          </c:val>
          <c:extLst xmlns:c16r2="http://schemas.microsoft.com/office/drawing/2015/06/chart">
            <c:ext xmlns:c16="http://schemas.microsoft.com/office/drawing/2014/chart" uri="{C3380CC4-5D6E-409C-BE32-E72D297353CC}">
              <c16:uniqueId val="{00000000-D5B1-4141-B7DE-428A9B7C538A}"/>
            </c:ext>
          </c:extLst>
        </c:ser>
        <c:dLbls>
          <c:showLegendKey val="0"/>
          <c:showVal val="0"/>
          <c:showCatName val="0"/>
          <c:showSerName val="0"/>
          <c:showPercent val="0"/>
          <c:showBubbleSize val="0"/>
        </c:dLbls>
        <c:gapWidth val="150"/>
        <c:shape val="box"/>
        <c:axId val="249744464"/>
        <c:axId val="249745024"/>
        <c:axId val="0"/>
      </c:bar3DChart>
      <c:catAx>
        <c:axId val="249744464"/>
        <c:scaling>
          <c:orientation val="minMax"/>
        </c:scaling>
        <c:delete val="1"/>
        <c:axPos val="b"/>
        <c:numFmt formatCode="General" sourceLinked="1"/>
        <c:majorTickMark val="none"/>
        <c:minorTickMark val="none"/>
        <c:tickLblPos val="nextTo"/>
        <c:crossAx val="249745024"/>
        <c:crosses val="autoZero"/>
        <c:auto val="1"/>
        <c:lblAlgn val="ctr"/>
        <c:lblOffset val="100"/>
        <c:noMultiLvlLbl val="0"/>
      </c:catAx>
      <c:valAx>
        <c:axId val="249745024"/>
        <c:scaling>
          <c:orientation val="minMax"/>
          <c:max val="200000000"/>
        </c:scaling>
        <c:delete val="1"/>
        <c:axPos val="l"/>
        <c:numFmt formatCode="General" sourceLinked="1"/>
        <c:majorTickMark val="none"/>
        <c:minorTickMark val="none"/>
        <c:tickLblPos val="nextTo"/>
        <c:crossAx val="249744464"/>
        <c:crosses val="autoZero"/>
        <c:crossBetween val="between"/>
        <c:majorUnit val="1000000"/>
      </c:valAx>
      <c:dTable>
        <c:showHorzBorder val="1"/>
        <c:showVertBorder val="1"/>
        <c:showOutline val="1"/>
        <c:showKeys val="0"/>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Penelitian!PivotTable3</c:name>
    <c:fmtId val="15"/>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Skema penelitian</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dLbl>
          <c:idx val="0"/>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Penelitian'!$B$25</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Penelitian'!$A$26:$A$35</c:f>
              <c:strCache>
                <c:ptCount val="9"/>
                <c:pt idx="0">
                  <c:v>Penelitian Dasar Unggulan Perguruan Tinggi</c:v>
                </c:pt>
                <c:pt idx="1">
                  <c:v>Penelitian Disertasi Doktor</c:v>
                </c:pt>
                <c:pt idx="2">
                  <c:v>Penelitian Dosen Pemula</c:v>
                </c:pt>
                <c:pt idx="3">
                  <c:v>Penelitian Kerjasama Antar Perguruan Tinggi</c:v>
                </c:pt>
                <c:pt idx="4">
                  <c:v>Penelitian Pasca Doktor</c:v>
                </c:pt>
                <c:pt idx="5">
                  <c:v>Penelitian Terapan</c:v>
                </c:pt>
                <c:pt idx="6">
                  <c:v>Penelitian Terapan Unggulan Perguruan Tinggi</c:v>
                </c:pt>
                <c:pt idx="7">
                  <c:v>Penelitian Tesis Magister</c:v>
                </c:pt>
                <c:pt idx="8">
                  <c:v>World Class Research</c:v>
                </c:pt>
              </c:strCache>
            </c:strRef>
          </c:cat>
          <c:val>
            <c:numRef>
              <c:f>'Grafik Penelitian'!$B$26:$B$35</c:f>
              <c:numCache>
                <c:formatCode>General</c:formatCode>
                <c:ptCount val="9"/>
                <c:pt idx="0">
                  <c:v>4</c:v>
                </c:pt>
                <c:pt idx="1">
                  <c:v>1</c:v>
                </c:pt>
                <c:pt idx="2">
                  <c:v>65</c:v>
                </c:pt>
                <c:pt idx="3">
                  <c:v>1</c:v>
                </c:pt>
                <c:pt idx="4">
                  <c:v>1</c:v>
                </c:pt>
                <c:pt idx="5">
                  <c:v>4</c:v>
                </c:pt>
                <c:pt idx="6">
                  <c:v>5</c:v>
                </c:pt>
                <c:pt idx="7">
                  <c:v>14</c:v>
                </c:pt>
                <c:pt idx="8">
                  <c:v>5</c:v>
                </c:pt>
              </c:numCache>
            </c:numRef>
          </c:val>
          <c:extLst xmlns:c16r2="http://schemas.microsoft.com/office/drawing/2015/06/chart">
            <c:ext xmlns:c16="http://schemas.microsoft.com/office/drawing/2014/chart" uri="{C3380CC4-5D6E-409C-BE32-E72D297353CC}">
              <c16:uniqueId val="{00000004-EC61-4AEE-90AA-F4060CD98631}"/>
            </c:ext>
          </c:extLst>
        </c:ser>
        <c:dLbls>
          <c:showLegendKey val="0"/>
          <c:showVal val="1"/>
          <c:showCatName val="0"/>
          <c:showSerName val="0"/>
          <c:showPercent val="0"/>
          <c:showBubbleSize val="0"/>
        </c:dLbls>
        <c:gapWidth val="84"/>
        <c:gapDepth val="53"/>
        <c:shape val="box"/>
        <c:axId val="249747824"/>
        <c:axId val="249748384"/>
        <c:axId val="0"/>
      </c:bar3DChart>
      <c:catAx>
        <c:axId val="249747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49748384"/>
        <c:crosses val="autoZero"/>
        <c:auto val="1"/>
        <c:lblAlgn val="ctr"/>
        <c:lblOffset val="100"/>
        <c:noMultiLvlLbl val="0"/>
      </c:catAx>
      <c:valAx>
        <c:axId val="249748384"/>
        <c:scaling>
          <c:orientation val="minMax"/>
        </c:scaling>
        <c:delete val="1"/>
        <c:axPos val="b"/>
        <c:numFmt formatCode="General" sourceLinked="1"/>
        <c:majorTickMark val="out"/>
        <c:minorTickMark val="none"/>
        <c:tickLblPos val="nextTo"/>
        <c:crossAx val="249747824"/>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Penelitian!PivotTable6</c:name>
    <c:fmtId val="4"/>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STATUS USULAN PENELITIAN</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Penelitian'!$B$40</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Penelitian'!$A$41:$A$43</c:f>
              <c:strCache>
                <c:ptCount val="2"/>
                <c:pt idx="0">
                  <c:v>Baru</c:v>
                </c:pt>
                <c:pt idx="1">
                  <c:v>Lanjutan</c:v>
                </c:pt>
              </c:strCache>
            </c:strRef>
          </c:cat>
          <c:val>
            <c:numRef>
              <c:f>'Grafik Penelitian'!$B$41:$B$43</c:f>
              <c:numCache>
                <c:formatCode>General</c:formatCode>
                <c:ptCount val="2"/>
                <c:pt idx="0">
                  <c:v>52</c:v>
                </c:pt>
                <c:pt idx="1">
                  <c:v>48</c:v>
                </c:pt>
              </c:numCache>
            </c:numRef>
          </c:val>
          <c:extLst xmlns:c16r2="http://schemas.microsoft.com/office/drawing/2015/06/chart">
            <c:ext xmlns:c16="http://schemas.microsoft.com/office/drawing/2014/chart" uri="{C3380CC4-5D6E-409C-BE32-E72D297353CC}">
              <c16:uniqueId val="{00000000-1A9A-4E4F-BB76-2F62907DCE47}"/>
            </c:ext>
          </c:extLst>
        </c:ser>
        <c:dLbls>
          <c:showLegendKey val="0"/>
          <c:showVal val="0"/>
          <c:showCatName val="0"/>
          <c:showSerName val="0"/>
          <c:showPercent val="0"/>
          <c:showBubbleSize val="0"/>
        </c:dLbls>
        <c:gapWidth val="84"/>
        <c:gapDepth val="53"/>
        <c:shape val="box"/>
        <c:axId val="249750624"/>
        <c:axId val="249751184"/>
        <c:axId val="0"/>
      </c:bar3DChart>
      <c:catAx>
        <c:axId val="249750624"/>
        <c:scaling>
          <c:orientation val="minMax"/>
        </c:scaling>
        <c:delete val="1"/>
        <c:axPos val="b"/>
        <c:numFmt formatCode="General" sourceLinked="1"/>
        <c:majorTickMark val="out"/>
        <c:minorTickMark val="none"/>
        <c:tickLblPos val="nextTo"/>
        <c:crossAx val="249751184"/>
        <c:crosses val="autoZero"/>
        <c:auto val="1"/>
        <c:lblAlgn val="ctr"/>
        <c:lblOffset val="100"/>
        <c:noMultiLvlLbl val="0"/>
      </c:catAx>
      <c:valAx>
        <c:axId val="249751184"/>
        <c:scaling>
          <c:orientation val="minMax"/>
          <c:max val="52"/>
        </c:scaling>
        <c:delete val="1"/>
        <c:axPos val="l"/>
        <c:numFmt formatCode="General" sourceLinked="1"/>
        <c:majorTickMark val="out"/>
        <c:minorTickMark val="none"/>
        <c:tickLblPos val="nextTo"/>
        <c:crossAx val="249750624"/>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Penelitian!PivotTable4</c:name>
    <c:fmtId val="2"/>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TOTAL</a:t>
            </a:r>
            <a:r>
              <a:rPr lang="en-US" sz="1200" baseline="0"/>
              <a:t> PENDANAAN PENELITIAN</a:t>
            </a:r>
          </a:p>
          <a:p>
            <a:pPr>
              <a:defRPr sz="1200"/>
            </a:pPr>
            <a:r>
              <a:rPr lang="en-US" sz="1200" baseline="0"/>
              <a:t> PER TAHUN</a:t>
            </a:r>
            <a:endParaRPr lang="en-US" sz="1200"/>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pivotFmt>
      <c:pivotFmt>
        <c:idx val="5"/>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Penelitian'!$F$3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delete val="1"/>
          </c:dLbls>
          <c:cat>
            <c:strRef>
              <c:f>'Grafik Penelitian'!$E$4:$E$8</c:f>
              <c:strCache>
                <c:ptCount val="4"/>
                <c:pt idx="0">
                  <c:v>2017</c:v>
                </c:pt>
                <c:pt idx="1">
                  <c:v>2018</c:v>
                </c:pt>
                <c:pt idx="2">
                  <c:v>2019</c:v>
                </c:pt>
                <c:pt idx="3">
                  <c:v>2020</c:v>
                </c:pt>
              </c:strCache>
            </c:strRef>
          </c:cat>
          <c:val>
            <c:numRef>
              <c:f>'Grafik Penelitian'!$F$4:$F$8</c:f>
              <c:numCache>
                <c:formatCode>General</c:formatCode>
                <c:ptCount val="4"/>
                <c:pt idx="0">
                  <c:v>1658000000</c:v>
                </c:pt>
                <c:pt idx="1">
                  <c:v>1618000000</c:v>
                </c:pt>
                <c:pt idx="2">
                  <c:v>1218000000</c:v>
                </c:pt>
                <c:pt idx="3">
                  <c:v>1738000000</c:v>
                </c:pt>
              </c:numCache>
            </c:numRef>
          </c:val>
          <c:extLst xmlns:c16r2="http://schemas.microsoft.com/office/drawing/2015/06/chart">
            <c:ext xmlns:c16="http://schemas.microsoft.com/office/drawing/2014/chart" uri="{C3380CC4-5D6E-409C-BE32-E72D297353CC}">
              <c16:uniqueId val="{00000000-40FE-4375-AA27-98657C694BEE}"/>
            </c:ext>
          </c:extLst>
        </c:ser>
        <c:dLbls>
          <c:showLegendKey val="0"/>
          <c:showVal val="1"/>
          <c:showCatName val="0"/>
          <c:showSerName val="0"/>
          <c:showPercent val="0"/>
          <c:showBubbleSize val="0"/>
        </c:dLbls>
        <c:gapWidth val="84"/>
        <c:gapDepth val="53"/>
        <c:shape val="box"/>
        <c:axId val="250274160"/>
        <c:axId val="250274720"/>
        <c:axId val="0"/>
      </c:bar3DChart>
      <c:catAx>
        <c:axId val="2502741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274720"/>
        <c:crosses val="autoZero"/>
        <c:auto val="1"/>
        <c:lblAlgn val="ctr"/>
        <c:lblOffset val="100"/>
        <c:noMultiLvlLbl val="0"/>
      </c:catAx>
      <c:valAx>
        <c:axId val="250274720"/>
        <c:scaling>
          <c:orientation val="minMax"/>
        </c:scaling>
        <c:delete val="1"/>
        <c:axPos val="l"/>
        <c:numFmt formatCode="General" sourceLinked="1"/>
        <c:majorTickMark val="out"/>
        <c:minorTickMark val="none"/>
        <c:tickLblPos val="nextTo"/>
        <c:crossAx val="250274160"/>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Penelitian!PivotTable5</c:name>
    <c:fmtId val="5"/>
  </c:pivotSource>
  <c:chart>
    <c:title>
      <c:tx>
        <c:rich>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r>
              <a:rPr lang="en-US" sz="1200"/>
              <a:t>JUMLAH</a:t>
            </a:r>
            <a:r>
              <a:rPr lang="en-US" sz="1200" baseline="0"/>
              <a:t> PENELITIAN TERDANAI </a:t>
            </a:r>
          </a:p>
          <a:p>
            <a:pPr>
              <a:defRPr sz="1200"/>
            </a:pPr>
            <a:r>
              <a:rPr lang="en-US" sz="1200" baseline="0"/>
              <a:t>PER TAHUN</a:t>
            </a:r>
            <a:endParaRPr lang="en-US" sz="1200"/>
          </a:p>
        </c:rich>
      </c:tx>
      <c:layout/>
      <c:overlay val="0"/>
      <c:spPr>
        <a:noFill/>
        <a:ln>
          <a:noFill/>
        </a:ln>
        <a:effectLst/>
      </c:spPr>
      <c:txPr>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'Grafik Penelitian'!$F$18</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delete val="1"/>
          </c:dLbls>
          <c:cat>
            <c:strRef>
              <c:f>'Grafik Penelitian'!$E$19:$E$23</c:f>
              <c:strCache>
                <c:ptCount val="4"/>
                <c:pt idx="0">
                  <c:v>2017</c:v>
                </c:pt>
                <c:pt idx="1">
                  <c:v>2018</c:v>
                </c:pt>
                <c:pt idx="2">
                  <c:v>2019</c:v>
                </c:pt>
                <c:pt idx="3">
                  <c:v>2020</c:v>
                </c:pt>
              </c:strCache>
            </c:strRef>
          </c:cat>
          <c:val>
            <c:numRef>
              <c:f>'Grafik Penelitian'!$F$19:$F$23</c:f>
              <c:numCache>
                <c:formatCode>General</c:formatCode>
                <c:ptCount val="4"/>
                <c:pt idx="0">
                  <c:v>26</c:v>
                </c:pt>
                <c:pt idx="1">
                  <c:v>26</c:v>
                </c:pt>
                <c:pt idx="2">
                  <c:v>20</c:v>
                </c:pt>
                <c:pt idx="3">
                  <c:v>28</c:v>
                </c:pt>
              </c:numCache>
            </c:numRef>
          </c:val>
          <c:smooth val="0"/>
          <c:extLst xmlns:c16r2="http://schemas.microsoft.com/office/drawing/2015/06/chart">
            <c:ext xmlns:c16="http://schemas.microsoft.com/office/drawing/2014/chart" uri="{C3380CC4-5D6E-409C-BE32-E72D297353CC}">
              <c16:uniqueId val="{00000000-1B03-4C28-BA35-422120B25AC6}"/>
            </c:ext>
          </c:extLst>
        </c:ser>
        <c:dLbls>
          <c:dLblPos val="ctr"/>
          <c:showLegendKey val="0"/>
          <c:showVal val="1"/>
          <c:showCatName val="0"/>
          <c:showSerName val="0"/>
          <c:showPercent val="0"/>
          <c:showBubbleSize val="0"/>
        </c:dLbls>
        <c:marker val="1"/>
        <c:smooth val="0"/>
        <c:axId val="250277520"/>
        <c:axId val="250278080"/>
      </c:lineChart>
      <c:catAx>
        <c:axId val="250277520"/>
        <c:scaling>
          <c:orientation val="minMax"/>
        </c:scaling>
        <c:delete val="1"/>
        <c:axPos val="b"/>
        <c:numFmt formatCode="General" sourceLinked="1"/>
        <c:majorTickMark val="none"/>
        <c:minorTickMark val="none"/>
        <c:tickLblPos val="nextTo"/>
        <c:crossAx val="250278080"/>
        <c:crosses val="autoZero"/>
        <c:auto val="1"/>
        <c:lblAlgn val="ctr"/>
        <c:lblOffset val="100"/>
        <c:noMultiLvlLbl val="0"/>
      </c:catAx>
      <c:valAx>
        <c:axId val="250278080"/>
        <c:scaling>
          <c:orientation val="minMax"/>
        </c:scaling>
        <c:delete val="1"/>
        <c:axPos val="l"/>
        <c:numFmt formatCode="General" sourceLinked="1"/>
        <c:majorTickMark val="none"/>
        <c:minorTickMark val="none"/>
        <c:tickLblPos val="nextTo"/>
        <c:crossAx val="25027752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Penelitian!PivotTable2</c:name>
    <c:fmtId val="6"/>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JUMLAH PENELITIAN TERDANAI</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pPr>
            <a:solidFill>
              <a:schemeClr val="accent1"/>
            </a:solidFill>
            <a:ln w="9525">
              <a:solidFill>
                <a:schemeClr val="dk1">
                  <a:lumMod val="75000"/>
                  <a:lumOff val="25000"/>
                </a:schemeClr>
              </a:solidFill>
            </a:ln>
            <a:effectLst/>
          </c:spPr>
        </c:marker>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Penelitian'!$B$4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Penelitian'!$A$5:$A$20</c:f>
              <c:strCache>
                <c:ptCount val="15"/>
                <c:pt idx="0">
                  <c:v>LLDIKTI WILAYAH I</c:v>
                </c:pt>
                <c:pt idx="1">
                  <c:v>LLDIKTI WILAYAH II</c:v>
                </c:pt>
                <c:pt idx="2">
                  <c:v>LLDIKTI WILAYAH III</c:v>
                </c:pt>
                <c:pt idx="3">
                  <c:v>LLDIKTI WILAYAH IV</c:v>
                </c:pt>
                <c:pt idx="4">
                  <c:v>LLDIKTI WILAYAH IX</c:v>
                </c:pt>
                <c:pt idx="5">
                  <c:v>LLDIKTI WILAYAH V</c:v>
                </c:pt>
                <c:pt idx="6">
                  <c:v>LLDIKTI WILAYAH VI</c:v>
                </c:pt>
                <c:pt idx="7">
                  <c:v>LLDIKTI WILAYAH VII</c:v>
                </c:pt>
                <c:pt idx="8">
                  <c:v>LLDIKTI WILAYAH VIII</c:v>
                </c:pt>
                <c:pt idx="9">
                  <c:v>LLDIKTI WILAYAH X</c:v>
                </c:pt>
                <c:pt idx="10">
                  <c:v>LLDIKTI WILAYAH XI</c:v>
                </c:pt>
                <c:pt idx="11">
                  <c:v>LLDIKTI WILAYAH XII</c:v>
                </c:pt>
                <c:pt idx="12">
                  <c:v>LLDIKTI WILAYAH XIII</c:v>
                </c:pt>
                <c:pt idx="13">
                  <c:v>LLDIKTI WILAYAH XIV</c:v>
                </c:pt>
                <c:pt idx="14">
                  <c:v>PTN</c:v>
                </c:pt>
              </c:strCache>
            </c:strRef>
          </c:cat>
          <c:val>
            <c:numRef>
              <c:f>'Grafik Penelitian'!$B$5:$B$20</c:f>
              <c:numCache>
                <c:formatCode>General</c:formatCode>
                <c:ptCount val="15"/>
                <c:pt idx="0">
                  <c:v>5</c:v>
                </c:pt>
                <c:pt idx="1">
                  <c:v>1</c:v>
                </c:pt>
                <c:pt idx="2">
                  <c:v>9</c:v>
                </c:pt>
                <c:pt idx="3">
                  <c:v>15</c:v>
                </c:pt>
                <c:pt idx="4">
                  <c:v>9</c:v>
                </c:pt>
                <c:pt idx="5">
                  <c:v>2</c:v>
                </c:pt>
                <c:pt idx="6">
                  <c:v>4</c:v>
                </c:pt>
                <c:pt idx="7">
                  <c:v>11</c:v>
                </c:pt>
                <c:pt idx="8">
                  <c:v>4</c:v>
                </c:pt>
                <c:pt idx="9">
                  <c:v>7</c:v>
                </c:pt>
                <c:pt idx="10">
                  <c:v>3</c:v>
                </c:pt>
                <c:pt idx="11">
                  <c:v>3</c:v>
                </c:pt>
                <c:pt idx="12">
                  <c:v>2</c:v>
                </c:pt>
                <c:pt idx="13">
                  <c:v>1</c:v>
                </c:pt>
                <c:pt idx="14">
                  <c:v>24</c:v>
                </c:pt>
              </c:numCache>
            </c:numRef>
          </c:val>
          <c:extLst xmlns:c16r2="http://schemas.microsoft.com/office/drawing/2015/06/chart">
            <c:ext xmlns:c16="http://schemas.microsoft.com/office/drawing/2014/chart" uri="{C3380CC4-5D6E-409C-BE32-E72D297353CC}">
              <c16:uniqueId val="{00000000-0B66-48AF-B439-93067F3FCCCC}"/>
            </c:ext>
          </c:extLst>
        </c:ser>
        <c:dLbls>
          <c:showLegendKey val="0"/>
          <c:showVal val="1"/>
          <c:showCatName val="0"/>
          <c:showSerName val="0"/>
          <c:showPercent val="0"/>
          <c:showBubbleSize val="0"/>
        </c:dLbls>
        <c:gapWidth val="84"/>
        <c:gapDepth val="53"/>
        <c:shape val="box"/>
        <c:axId val="250280880"/>
        <c:axId val="250281440"/>
        <c:axId val="0"/>
      </c:bar3DChart>
      <c:catAx>
        <c:axId val="2502808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281440"/>
        <c:crosses val="autoZero"/>
        <c:auto val="1"/>
        <c:lblAlgn val="ctr"/>
        <c:lblOffset val="100"/>
        <c:tickLblSkip val="1"/>
        <c:noMultiLvlLbl val="0"/>
      </c:catAx>
      <c:valAx>
        <c:axId val="250281440"/>
        <c:scaling>
          <c:orientation val="minMax"/>
          <c:max val="25"/>
        </c:scaling>
        <c:delete val="1"/>
        <c:axPos val="b"/>
        <c:numFmt formatCode="General" sourceLinked="1"/>
        <c:majorTickMark val="out"/>
        <c:minorTickMark val="none"/>
        <c:tickLblPos val="nextTo"/>
        <c:crossAx val="250280880"/>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Penelitian!Sta</c:name>
    <c:fmtId val="6"/>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STatus Usulan penelitian</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Penelitian'!$X$30</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Penelitian'!$W$31:$W$33</c:f>
              <c:strCache>
                <c:ptCount val="2"/>
                <c:pt idx="0">
                  <c:v>Baru</c:v>
                </c:pt>
                <c:pt idx="1">
                  <c:v>Lanjutan</c:v>
                </c:pt>
              </c:strCache>
            </c:strRef>
          </c:cat>
          <c:val>
            <c:numRef>
              <c:f>'Grafik Penelitian'!$X$31:$X$33</c:f>
              <c:numCache>
                <c:formatCode>General</c:formatCode>
                <c:ptCount val="2"/>
                <c:pt idx="0">
                  <c:v>3</c:v>
                </c:pt>
                <c:pt idx="1">
                  <c:v>2</c:v>
                </c:pt>
              </c:numCache>
            </c:numRef>
          </c:val>
          <c:extLst xmlns:c16r2="http://schemas.microsoft.com/office/drawing/2015/06/chart">
            <c:ext xmlns:c16="http://schemas.microsoft.com/office/drawing/2014/chart" uri="{C3380CC4-5D6E-409C-BE32-E72D297353CC}">
              <c16:uniqueId val="{00000000-3149-4094-8053-ED4FA936AB2B}"/>
            </c:ext>
          </c:extLst>
        </c:ser>
        <c:dLbls>
          <c:showLegendKey val="0"/>
          <c:showVal val="0"/>
          <c:showCatName val="0"/>
          <c:showSerName val="0"/>
          <c:showPercent val="0"/>
          <c:showBubbleSize val="0"/>
        </c:dLbls>
        <c:gapWidth val="84"/>
        <c:gapDepth val="53"/>
        <c:shape val="box"/>
        <c:axId val="250284240"/>
        <c:axId val="250284800"/>
        <c:axId val="0"/>
      </c:bar3DChart>
      <c:catAx>
        <c:axId val="250284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284800"/>
        <c:crosses val="autoZero"/>
        <c:auto val="1"/>
        <c:lblAlgn val="ctr"/>
        <c:lblOffset val="100"/>
        <c:noMultiLvlLbl val="0"/>
      </c:catAx>
      <c:valAx>
        <c:axId val="250284800"/>
        <c:scaling>
          <c:orientation val="minMax"/>
        </c:scaling>
        <c:delete val="1"/>
        <c:axPos val="l"/>
        <c:numFmt formatCode="General" sourceLinked="1"/>
        <c:majorTickMark val="out"/>
        <c:minorTickMark val="none"/>
        <c:tickLblPos val="nextTo"/>
        <c:crossAx val="25028424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Penelitian!Ske</c:name>
    <c:fmtId val="4"/>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skema penelitian</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Penelitian'!$X$3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Penelitian'!$W$4:$W$6</c:f>
              <c:strCache>
                <c:ptCount val="2"/>
                <c:pt idx="0">
                  <c:v>Penelitian Dosen Pemula</c:v>
                </c:pt>
                <c:pt idx="1">
                  <c:v>World Class Research</c:v>
                </c:pt>
              </c:strCache>
            </c:strRef>
          </c:cat>
          <c:val>
            <c:numRef>
              <c:f>'Grafik Penelitian'!$X$4:$X$6</c:f>
              <c:numCache>
                <c:formatCode>General</c:formatCode>
                <c:ptCount val="2"/>
                <c:pt idx="0">
                  <c:v>4</c:v>
                </c:pt>
                <c:pt idx="1">
                  <c:v>1</c:v>
                </c:pt>
              </c:numCache>
            </c:numRef>
          </c:val>
          <c:extLst xmlns:c16r2="http://schemas.microsoft.com/office/drawing/2015/06/chart">
            <c:ext xmlns:c16="http://schemas.microsoft.com/office/drawing/2014/chart" uri="{C3380CC4-5D6E-409C-BE32-E72D297353CC}">
              <c16:uniqueId val="{00000000-23B2-4523-B792-BA1B4F5A0E1C}"/>
            </c:ext>
          </c:extLst>
        </c:ser>
        <c:dLbls>
          <c:showLegendKey val="0"/>
          <c:showVal val="1"/>
          <c:showCatName val="0"/>
          <c:showSerName val="0"/>
          <c:showPercent val="0"/>
          <c:showBubbleSize val="0"/>
        </c:dLbls>
        <c:gapWidth val="84"/>
        <c:gapDepth val="53"/>
        <c:shape val="box"/>
        <c:axId val="250287600"/>
        <c:axId val="250288160"/>
        <c:axId val="0"/>
      </c:bar3DChart>
      <c:catAx>
        <c:axId val="2502876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288160"/>
        <c:crosses val="autoZero"/>
        <c:auto val="1"/>
        <c:lblAlgn val="ctr"/>
        <c:lblOffset val="100"/>
        <c:noMultiLvlLbl val="0"/>
      </c:catAx>
      <c:valAx>
        <c:axId val="250288160"/>
        <c:scaling>
          <c:orientation val="minMax"/>
        </c:scaling>
        <c:delete val="1"/>
        <c:axPos val="b"/>
        <c:numFmt formatCode="General" sourceLinked="1"/>
        <c:majorTickMark val="out"/>
        <c:minorTickMark val="none"/>
        <c:tickLblPos val="nextTo"/>
        <c:crossAx val="250287600"/>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Penelitian!Pend</c:name>
    <c:fmtId val="4"/>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Total pendanaan penelitian PER tahun</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Penelitian'!$AB$3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Penelitian'!$AA$4:$AA$8</c:f>
              <c:strCache>
                <c:ptCount val="4"/>
                <c:pt idx="0">
                  <c:v>2017</c:v>
                </c:pt>
                <c:pt idx="1">
                  <c:v>2018</c:v>
                </c:pt>
                <c:pt idx="2">
                  <c:v>2019</c:v>
                </c:pt>
                <c:pt idx="3">
                  <c:v>2020</c:v>
                </c:pt>
              </c:strCache>
            </c:strRef>
          </c:cat>
          <c:val>
            <c:numRef>
              <c:f>'Grafik Penelitian'!$AB$4:$AB$8</c:f>
              <c:numCache>
                <c:formatCode>General</c:formatCode>
                <c:ptCount val="4"/>
                <c:pt idx="0">
                  <c:v>146000000</c:v>
                </c:pt>
                <c:pt idx="1">
                  <c:v>73000000</c:v>
                </c:pt>
                <c:pt idx="2">
                  <c:v>72000000</c:v>
                </c:pt>
                <c:pt idx="3">
                  <c:v>61000000</c:v>
                </c:pt>
              </c:numCache>
            </c:numRef>
          </c:val>
          <c:extLst xmlns:c16r2="http://schemas.microsoft.com/office/drawing/2015/06/chart">
            <c:ext xmlns:c16="http://schemas.microsoft.com/office/drawing/2014/chart" uri="{C3380CC4-5D6E-409C-BE32-E72D297353CC}">
              <c16:uniqueId val="{00000000-0CE5-4D7C-BE53-F217F9F29500}"/>
            </c:ext>
          </c:extLst>
        </c:ser>
        <c:dLbls>
          <c:showLegendKey val="0"/>
          <c:showVal val="0"/>
          <c:showCatName val="0"/>
          <c:showSerName val="0"/>
          <c:showPercent val="0"/>
          <c:showBubbleSize val="0"/>
        </c:dLbls>
        <c:gapWidth val="84"/>
        <c:gapDepth val="53"/>
        <c:shape val="box"/>
        <c:axId val="250990720"/>
        <c:axId val="250991280"/>
        <c:axId val="0"/>
      </c:bar3DChart>
      <c:catAx>
        <c:axId val="2509907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991280"/>
        <c:crosses val="autoZero"/>
        <c:auto val="1"/>
        <c:lblAlgn val="ctr"/>
        <c:lblOffset val="100"/>
        <c:noMultiLvlLbl val="0"/>
      </c:catAx>
      <c:valAx>
        <c:axId val="250991280"/>
        <c:scaling>
          <c:orientation val="minMax"/>
        </c:scaling>
        <c:delete val="1"/>
        <c:axPos val="l"/>
        <c:numFmt formatCode="General" sourceLinked="1"/>
        <c:majorTickMark val="out"/>
        <c:minorTickMark val="none"/>
        <c:tickLblPos val="nextTo"/>
        <c:crossAx val="25099072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Penelitian!Jum</c:name>
    <c:fmtId val="5"/>
  </c:pivotSource>
  <c:chart>
    <c:title>
      <c:tx>
        <c:rich>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r>
              <a:rPr lang="en-US" sz="1200"/>
              <a:t>JUMLAH PENELITIAN TERDANAI PER TAHUN</a:t>
            </a:r>
          </a:p>
        </c:rich>
      </c:tx>
      <c:layout/>
      <c:overlay val="0"/>
      <c:spPr>
        <a:noFill/>
        <a:ln>
          <a:noFill/>
        </a:ln>
        <a:effectLst/>
      </c:spPr>
      <c:txPr>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'Grafik Penelitian'!$AB$26</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Penelitian'!$AA$27:$AA$31</c:f>
              <c:strCache>
                <c:ptCount val="4"/>
                <c:pt idx="0">
                  <c:v>2017</c:v>
                </c:pt>
                <c:pt idx="1">
                  <c:v>2018</c:v>
                </c:pt>
                <c:pt idx="2">
                  <c:v>2019</c:v>
                </c:pt>
                <c:pt idx="3">
                  <c:v>2020</c:v>
                </c:pt>
              </c:strCache>
            </c:strRef>
          </c:cat>
          <c:val>
            <c:numRef>
              <c:f>'Grafik Penelitian'!$AB$27:$AB$31</c:f>
              <c:numCache>
                <c:formatCode>General</c:formatCode>
                <c:ptCount val="4"/>
                <c:pt idx="0">
                  <c:v>2</c:v>
                </c:pt>
                <c:pt idx="1">
                  <c:v>1</c:v>
                </c:pt>
                <c:pt idx="2">
                  <c:v>1</c:v>
                </c:pt>
                <c:pt idx="3">
                  <c:v>1</c:v>
                </c:pt>
              </c:numCache>
            </c:numRef>
          </c:val>
          <c:smooth val="0"/>
          <c:extLst xmlns:c16r2="http://schemas.microsoft.com/office/drawing/2015/06/chart">
            <c:ext xmlns:c16="http://schemas.microsoft.com/office/drawing/2014/chart" uri="{C3380CC4-5D6E-409C-BE32-E72D297353CC}">
              <c16:uniqueId val="{00000000-A7D9-466B-8549-74F65573A6DB}"/>
            </c:ext>
          </c:extLst>
        </c:ser>
        <c:dLbls>
          <c:showLegendKey val="0"/>
          <c:showVal val="0"/>
          <c:showCatName val="0"/>
          <c:showSerName val="0"/>
          <c:showPercent val="0"/>
          <c:showBubbleSize val="0"/>
        </c:dLbls>
        <c:marker val="1"/>
        <c:smooth val="0"/>
        <c:axId val="250994080"/>
        <c:axId val="250994640"/>
      </c:lineChart>
      <c:catAx>
        <c:axId val="250994080"/>
        <c:scaling>
          <c:orientation val="minMax"/>
        </c:scaling>
        <c:delete val="1"/>
        <c:axPos val="b"/>
        <c:numFmt formatCode="General" sourceLinked="1"/>
        <c:majorTickMark val="none"/>
        <c:minorTickMark val="none"/>
        <c:tickLblPos val="nextTo"/>
        <c:crossAx val="250994640"/>
        <c:crosses val="autoZero"/>
        <c:auto val="1"/>
        <c:lblAlgn val="ctr"/>
        <c:lblOffset val="100"/>
        <c:noMultiLvlLbl val="0"/>
      </c:catAx>
      <c:valAx>
        <c:axId val="250994640"/>
        <c:scaling>
          <c:orientation val="minMax"/>
        </c:scaling>
        <c:delete val="1"/>
        <c:axPos val="l"/>
        <c:numFmt formatCode="General" sourceLinked="1"/>
        <c:majorTickMark val="none"/>
        <c:minorTickMark val="none"/>
        <c:tickLblPos val="nextTo"/>
        <c:crossAx val="25099408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Penelitian!Ins</c:name>
    <c:fmtId val="6"/>
  </c:pivotSource>
  <c:chart>
    <c:title>
      <c:tx>
        <c:rich>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r>
              <a:rPr lang="en-US" sz="1200"/>
              <a:t>JUMLAH PENELITIAN TERDANAI TIAP INSTITUSI</a:t>
            </a:r>
          </a:p>
        </c:rich>
      </c:tx>
      <c:layout/>
      <c:overlay val="0"/>
      <c:spPr>
        <a:noFill/>
        <a:ln>
          <a:noFill/>
        </a:ln>
        <a:effectLst/>
      </c:spPr>
      <c:txPr>
        <a:bodyPr rot="0" spcFirstLastPara="1" vertOverflow="ellipsis" vert="horz" wrap="square" anchor="ctr" anchorCtr="1"/>
        <a:lstStyle/>
        <a:p>
          <a:pPr>
            <a:defRPr sz="12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Penelitian'!$T$4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Penelitian'!$S$5:$S$9</c:f>
              <c:strCache>
                <c:ptCount val="4"/>
                <c:pt idx="0">
                  <c:v>Sekolah Tinggi Ilmu Kesehatan Baiturrahim</c:v>
                </c:pt>
                <c:pt idx="1">
                  <c:v>Universitas Bhayangkara Jakarta Raya</c:v>
                </c:pt>
                <c:pt idx="2">
                  <c:v>Universitas Mercu Buana</c:v>
                </c:pt>
                <c:pt idx="3">
                  <c:v>Universitas Sebelas Maret</c:v>
                </c:pt>
              </c:strCache>
            </c:strRef>
          </c:cat>
          <c:val>
            <c:numRef>
              <c:f>'Grafik Penelitian'!$T$5:$T$9</c:f>
              <c:numCache>
                <c:formatCode>General</c:formatCode>
                <c:ptCount val="4"/>
                <c:pt idx="0">
                  <c:v>1</c:v>
                </c:pt>
                <c:pt idx="1">
                  <c:v>1</c:v>
                </c:pt>
                <c:pt idx="2">
                  <c:v>2</c:v>
                </c:pt>
                <c:pt idx="3">
                  <c:v>1</c:v>
                </c:pt>
              </c:numCache>
            </c:numRef>
          </c:val>
          <c:extLst xmlns:c16r2="http://schemas.microsoft.com/office/drawing/2015/06/chart">
            <c:ext xmlns:c16="http://schemas.microsoft.com/office/drawing/2014/chart" uri="{C3380CC4-5D6E-409C-BE32-E72D297353CC}">
              <c16:uniqueId val="{00000000-EF88-4072-A009-0F75B36FA479}"/>
            </c:ext>
          </c:extLst>
        </c:ser>
        <c:dLbls>
          <c:showLegendKey val="0"/>
          <c:showVal val="1"/>
          <c:showCatName val="0"/>
          <c:showSerName val="0"/>
          <c:showPercent val="0"/>
          <c:showBubbleSize val="0"/>
        </c:dLbls>
        <c:gapWidth val="84"/>
        <c:gapDepth val="53"/>
        <c:shape val="box"/>
        <c:axId val="250997440"/>
        <c:axId val="250998000"/>
        <c:axId val="0"/>
      </c:bar3DChart>
      <c:catAx>
        <c:axId val="250997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998000"/>
        <c:crosses val="autoZero"/>
        <c:auto val="1"/>
        <c:lblAlgn val="ctr"/>
        <c:lblOffset val="100"/>
        <c:tickLblSkip val="1"/>
        <c:noMultiLvlLbl val="0"/>
      </c:catAx>
      <c:valAx>
        <c:axId val="250998000"/>
        <c:scaling>
          <c:orientation val="minMax"/>
        </c:scaling>
        <c:delete val="1"/>
        <c:axPos val="b"/>
        <c:numFmt formatCode="General" sourceLinked="1"/>
        <c:majorTickMark val="out"/>
        <c:minorTickMark val="none"/>
        <c:tickLblPos val="nextTo"/>
        <c:crossAx val="250997440"/>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Pengmas!PivotTable3</c:name>
    <c:fmtId val="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sz="1200"/>
              <a:t>TOTAL PENDANAAN</a:t>
            </a:r>
            <a:r>
              <a:rPr lang="en-US" sz="1200" baseline="0"/>
              <a:t> PENGABDIAN MASYARAKAT</a:t>
            </a:r>
          </a:p>
          <a:p>
            <a:pPr>
              <a:defRPr/>
            </a:pPr>
            <a:r>
              <a:rPr lang="en-US" sz="1200" baseline="0"/>
              <a:t> PER TAHUN</a:t>
            </a:r>
            <a:endParaRPr lang="en-US"/>
          </a:p>
        </c:rich>
      </c:tx>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Pengmas'!$B$24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Pengmas'!$A$25:$A$29</c:f>
              <c:strCache>
                <c:ptCount val="4"/>
                <c:pt idx="0">
                  <c:v>2017</c:v>
                </c:pt>
                <c:pt idx="1">
                  <c:v>2018</c:v>
                </c:pt>
                <c:pt idx="2">
                  <c:v>2019</c:v>
                </c:pt>
                <c:pt idx="3">
                  <c:v>2020</c:v>
                </c:pt>
              </c:strCache>
            </c:strRef>
          </c:cat>
          <c:val>
            <c:numRef>
              <c:f>'Grafik Pengmas'!$B$25:$B$29</c:f>
              <c:numCache>
                <c:formatCode>General</c:formatCode>
                <c:ptCount val="4"/>
                <c:pt idx="0">
                  <c:v>1180000000</c:v>
                </c:pt>
                <c:pt idx="1">
                  <c:v>2014000000</c:v>
                </c:pt>
                <c:pt idx="2">
                  <c:v>1451000000</c:v>
                </c:pt>
                <c:pt idx="3">
                  <c:v>1676000000</c:v>
                </c:pt>
              </c:numCache>
            </c:numRef>
          </c:val>
          <c:extLst xmlns:c16r2="http://schemas.microsoft.com/office/drawing/2015/06/chart">
            <c:ext xmlns:c16="http://schemas.microsoft.com/office/drawing/2014/chart" uri="{C3380CC4-5D6E-409C-BE32-E72D297353CC}">
              <c16:uniqueId val="{00000000-3E22-4793-A931-157ADD742594}"/>
            </c:ext>
          </c:extLst>
        </c:ser>
        <c:dLbls>
          <c:showLegendKey val="0"/>
          <c:showVal val="0"/>
          <c:showCatName val="0"/>
          <c:showSerName val="0"/>
          <c:showPercent val="0"/>
          <c:showBubbleSize val="0"/>
        </c:dLbls>
        <c:gapWidth val="84"/>
        <c:gapDepth val="53"/>
        <c:shape val="box"/>
        <c:axId val="251000800"/>
        <c:axId val="251001360"/>
        <c:axId val="0"/>
      </c:bar3DChart>
      <c:catAx>
        <c:axId val="251000800"/>
        <c:scaling>
          <c:orientation val="minMax"/>
        </c:scaling>
        <c:delete val="1"/>
        <c:axPos val="b"/>
        <c:numFmt formatCode="General" sourceLinked="1"/>
        <c:majorTickMark val="out"/>
        <c:minorTickMark val="none"/>
        <c:tickLblPos val="nextTo"/>
        <c:crossAx val="251001360"/>
        <c:crosses val="autoZero"/>
        <c:auto val="1"/>
        <c:lblAlgn val="ctr"/>
        <c:lblOffset val="100"/>
        <c:noMultiLvlLbl val="0"/>
      </c:catAx>
      <c:valAx>
        <c:axId val="251001360"/>
        <c:scaling>
          <c:orientation val="minMax"/>
        </c:scaling>
        <c:delete val="1"/>
        <c:axPos val="l"/>
        <c:numFmt formatCode="General" sourceLinked="1"/>
        <c:majorTickMark val="out"/>
        <c:minorTickMark val="none"/>
        <c:tickLblPos val="nextTo"/>
        <c:crossAx val="25100080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Pengmas!PivotTable1</c:name>
    <c:fmtId val="4"/>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sz="1200"/>
              <a:t>JUMLAH PENGABDIAN</a:t>
            </a:r>
            <a:r>
              <a:rPr lang="en-US" sz="1200" baseline="0"/>
              <a:t> MASYARAKAT TERDANAI</a:t>
            </a:r>
            <a:endParaRPr lang="en-US" sz="1200"/>
          </a:p>
        </c:rich>
      </c:tx>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pPr>
            <a:solidFill>
              <a:schemeClr val="accent1"/>
            </a:solidFill>
            <a:ln w="9525">
              <a:solidFill>
                <a:schemeClr val="dk1">
                  <a:lumMod val="75000"/>
                  <a:lumOff val="25000"/>
                </a:schemeClr>
              </a:solidFill>
            </a:ln>
            <a:effectLst/>
          </c:spPr>
        </c:marker>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Pengmas'!$A$4:$A$18</c:f>
              <c:strCache>
                <c:ptCount val="14"/>
                <c:pt idx="0">
                  <c:v>LLDIKTI WILAYAH I</c:v>
                </c:pt>
                <c:pt idx="1">
                  <c:v>LLDIKTI WILAYAH II</c:v>
                </c:pt>
                <c:pt idx="2">
                  <c:v>LLDIKTI WILAYAH III</c:v>
                </c:pt>
                <c:pt idx="3">
                  <c:v>LLDIKTI WILAYAH IV</c:v>
                </c:pt>
                <c:pt idx="4">
                  <c:v>LLDIKTI WILAYAH IX</c:v>
                </c:pt>
                <c:pt idx="5">
                  <c:v>LLDIKTI WILAYAH V</c:v>
                </c:pt>
                <c:pt idx="6">
                  <c:v>LLDIKTI WILAYAH VI</c:v>
                </c:pt>
                <c:pt idx="7">
                  <c:v>LLDIKTI WILAYAH VII</c:v>
                </c:pt>
                <c:pt idx="8">
                  <c:v>LLDIKTI WILAYAH VIII</c:v>
                </c:pt>
                <c:pt idx="9">
                  <c:v>LLDIKTI WILAYAH X</c:v>
                </c:pt>
                <c:pt idx="10">
                  <c:v>LLDIKTI WILAYAH XI</c:v>
                </c:pt>
                <c:pt idx="11">
                  <c:v>LLDIKTI WILAYAH XII</c:v>
                </c:pt>
                <c:pt idx="12">
                  <c:v>LLDIKTI WILAYAH XIII</c:v>
                </c:pt>
                <c:pt idx="13">
                  <c:v>PTN</c:v>
                </c:pt>
              </c:strCache>
            </c:strRef>
          </c:cat>
          <c:val>
            <c:numRef>
              <c:f>'Grafik Pengmas'!$B$4:$B$18</c:f>
              <c:numCache>
                <c:formatCode>General</c:formatCode>
                <c:ptCount val="14"/>
                <c:pt idx="0">
                  <c:v>2</c:v>
                </c:pt>
                <c:pt idx="1">
                  <c:v>9</c:v>
                </c:pt>
                <c:pt idx="2">
                  <c:v>7</c:v>
                </c:pt>
                <c:pt idx="3">
                  <c:v>11</c:v>
                </c:pt>
                <c:pt idx="4">
                  <c:v>2</c:v>
                </c:pt>
                <c:pt idx="5">
                  <c:v>6</c:v>
                </c:pt>
                <c:pt idx="6">
                  <c:v>9</c:v>
                </c:pt>
                <c:pt idx="7">
                  <c:v>5</c:v>
                </c:pt>
                <c:pt idx="8">
                  <c:v>7</c:v>
                </c:pt>
                <c:pt idx="9">
                  <c:v>8</c:v>
                </c:pt>
                <c:pt idx="10">
                  <c:v>8</c:v>
                </c:pt>
                <c:pt idx="11">
                  <c:v>6</c:v>
                </c:pt>
                <c:pt idx="12">
                  <c:v>6</c:v>
                </c:pt>
                <c:pt idx="13">
                  <c:v>14</c:v>
                </c:pt>
              </c:numCache>
            </c:numRef>
          </c:val>
          <c:extLst xmlns:c16r2="http://schemas.microsoft.com/office/drawing/2015/06/chart">
            <c:ext xmlns:c16="http://schemas.microsoft.com/office/drawing/2014/chart" uri="{C3380CC4-5D6E-409C-BE32-E72D297353CC}">
              <c16:uniqueId val="{00000000-E078-404D-A82F-4464B38FFD86}"/>
            </c:ext>
          </c:extLst>
        </c:ser>
        <c:dLbls>
          <c:showLegendKey val="0"/>
          <c:showVal val="1"/>
          <c:showCatName val="0"/>
          <c:showSerName val="0"/>
          <c:showPercent val="0"/>
          <c:showBubbleSize val="0"/>
        </c:dLbls>
        <c:gapWidth val="84"/>
        <c:gapDepth val="53"/>
        <c:shape val="box"/>
        <c:axId val="251004160"/>
        <c:axId val="251004720"/>
        <c:axId val="0"/>
      </c:bar3DChart>
      <c:catAx>
        <c:axId val="2510041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004720"/>
        <c:crosses val="autoZero"/>
        <c:auto val="1"/>
        <c:lblAlgn val="ctr"/>
        <c:lblOffset val="100"/>
        <c:tickLblSkip val="1"/>
        <c:noMultiLvlLbl val="0"/>
      </c:catAx>
      <c:valAx>
        <c:axId val="251004720"/>
        <c:scaling>
          <c:orientation val="minMax"/>
        </c:scaling>
        <c:delete val="1"/>
        <c:axPos val="b"/>
        <c:numFmt formatCode="General" sourceLinked="1"/>
        <c:majorTickMark val="out"/>
        <c:minorTickMark val="none"/>
        <c:tickLblPos val="nextTo"/>
        <c:crossAx val="251004160"/>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Pengmas!PivotTable2</c:name>
    <c:fmtId val="4"/>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sz="1200"/>
              <a:t>SKEMA PENGABDIAN MASYARAKAT</a:t>
            </a:r>
            <a:endParaRPr lang="en-US"/>
          </a:p>
        </c:rich>
      </c:tx>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Pengmas'!$L$19</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Pengmas'!$K$20:$K$29</c:f>
              <c:strCache>
                <c:ptCount val="9"/>
                <c:pt idx="0">
                  <c:v>KKN-PPM</c:v>
                </c:pt>
                <c:pt idx="1">
                  <c:v>PKM</c:v>
                </c:pt>
                <c:pt idx="2">
                  <c:v>PKMS</c:v>
                </c:pt>
                <c:pt idx="3">
                  <c:v>PKW</c:v>
                </c:pt>
                <c:pt idx="4">
                  <c:v>PPDM</c:v>
                </c:pt>
                <c:pt idx="5">
                  <c:v>PPK</c:v>
                </c:pt>
                <c:pt idx="6">
                  <c:v>PPMUPT</c:v>
                </c:pt>
                <c:pt idx="7">
                  <c:v>PPPUD</c:v>
                </c:pt>
                <c:pt idx="8">
                  <c:v>PPUPIK</c:v>
                </c:pt>
              </c:strCache>
            </c:strRef>
          </c:cat>
          <c:val>
            <c:numRef>
              <c:f>'Grafik Pengmas'!$L$20:$L$29</c:f>
              <c:numCache>
                <c:formatCode>General</c:formatCode>
                <c:ptCount val="9"/>
                <c:pt idx="0">
                  <c:v>3</c:v>
                </c:pt>
                <c:pt idx="1">
                  <c:v>47</c:v>
                </c:pt>
                <c:pt idx="2">
                  <c:v>9</c:v>
                </c:pt>
                <c:pt idx="3">
                  <c:v>3</c:v>
                </c:pt>
                <c:pt idx="4">
                  <c:v>22</c:v>
                </c:pt>
                <c:pt idx="5">
                  <c:v>1</c:v>
                </c:pt>
                <c:pt idx="6">
                  <c:v>3</c:v>
                </c:pt>
                <c:pt idx="7">
                  <c:v>7</c:v>
                </c:pt>
                <c:pt idx="8">
                  <c:v>5</c:v>
                </c:pt>
              </c:numCache>
            </c:numRef>
          </c:val>
          <c:extLst xmlns:c16r2="http://schemas.microsoft.com/office/drawing/2015/06/chart">
            <c:ext xmlns:c16="http://schemas.microsoft.com/office/drawing/2014/chart" uri="{C3380CC4-5D6E-409C-BE32-E72D297353CC}">
              <c16:uniqueId val="{00000000-F741-49C7-9DBE-9815FACBE07A}"/>
            </c:ext>
          </c:extLst>
        </c:ser>
        <c:dLbls>
          <c:showLegendKey val="0"/>
          <c:showVal val="1"/>
          <c:showCatName val="0"/>
          <c:showSerName val="0"/>
          <c:showPercent val="0"/>
          <c:showBubbleSize val="0"/>
        </c:dLbls>
        <c:gapWidth val="84"/>
        <c:gapDepth val="53"/>
        <c:shape val="box"/>
        <c:axId val="251473984"/>
        <c:axId val="251474544"/>
        <c:axId val="0"/>
      </c:bar3DChart>
      <c:catAx>
        <c:axId val="251473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474544"/>
        <c:crosses val="autoZero"/>
        <c:auto val="1"/>
        <c:lblAlgn val="ctr"/>
        <c:lblOffset val="100"/>
        <c:noMultiLvlLbl val="0"/>
      </c:catAx>
      <c:valAx>
        <c:axId val="251474544"/>
        <c:scaling>
          <c:orientation val="minMax"/>
        </c:scaling>
        <c:delete val="1"/>
        <c:axPos val="b"/>
        <c:numFmt formatCode="General" sourceLinked="1"/>
        <c:majorTickMark val="out"/>
        <c:minorTickMark val="none"/>
        <c:tickLblPos val="nextTo"/>
        <c:crossAx val="251473984"/>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Pengmas!PivotTable4</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JUMLAH PENGABDIAN MASYARAKAT TERDANAI</a:t>
            </a:r>
          </a:p>
          <a:p>
            <a:pPr>
              <a:defRPr/>
            </a:pPr>
            <a:r>
              <a:rPr lang="en-US"/>
              <a:t> PER TAHUN</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'Grafik Pengmas'!$K$34</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Pengmas'!$J$35:$J$39</c:f>
              <c:strCache>
                <c:ptCount val="4"/>
                <c:pt idx="0">
                  <c:v>2017</c:v>
                </c:pt>
                <c:pt idx="1">
                  <c:v>2018</c:v>
                </c:pt>
                <c:pt idx="2">
                  <c:v>2019</c:v>
                </c:pt>
                <c:pt idx="3">
                  <c:v>2020</c:v>
                </c:pt>
              </c:strCache>
            </c:strRef>
          </c:cat>
          <c:val>
            <c:numRef>
              <c:f>'Grafik Pengmas'!$K$35:$K$39</c:f>
              <c:numCache>
                <c:formatCode>General</c:formatCode>
                <c:ptCount val="4"/>
                <c:pt idx="0">
                  <c:v>19</c:v>
                </c:pt>
                <c:pt idx="1">
                  <c:v>31</c:v>
                </c:pt>
                <c:pt idx="2">
                  <c:v>23</c:v>
                </c:pt>
                <c:pt idx="3">
                  <c:v>27</c:v>
                </c:pt>
              </c:numCache>
            </c:numRef>
          </c:val>
          <c:smooth val="0"/>
          <c:extLst xmlns:c16r2="http://schemas.microsoft.com/office/drawing/2015/06/chart">
            <c:ext xmlns:c16="http://schemas.microsoft.com/office/drawing/2014/chart" uri="{C3380CC4-5D6E-409C-BE32-E72D297353CC}">
              <c16:uniqueId val="{00000000-3C71-4D32-B103-3FE10C0B51FC}"/>
            </c:ext>
          </c:extLst>
        </c:ser>
        <c:dLbls>
          <c:showLegendKey val="0"/>
          <c:showVal val="0"/>
          <c:showCatName val="0"/>
          <c:showSerName val="0"/>
          <c:showPercent val="0"/>
          <c:showBubbleSize val="0"/>
        </c:dLbls>
        <c:marker val="1"/>
        <c:smooth val="0"/>
        <c:axId val="251476784"/>
        <c:axId val="251477344"/>
      </c:lineChart>
      <c:catAx>
        <c:axId val="2514767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477344"/>
        <c:crosses val="autoZero"/>
        <c:auto val="1"/>
        <c:lblAlgn val="ctr"/>
        <c:lblOffset val="100"/>
        <c:noMultiLvlLbl val="0"/>
      </c:catAx>
      <c:valAx>
        <c:axId val="25147734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476784"/>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Pengmas!PivotTable5</c:name>
    <c:fmtId val="2"/>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sz="1200"/>
              <a:t>JUMLAH</a:t>
            </a:r>
            <a:r>
              <a:rPr lang="en-US" sz="1200" baseline="0"/>
              <a:t> PENGABDIAN MASYARAKAT TERDANAI TIAP INSTITUSI</a:t>
            </a:r>
            <a:endParaRPr lang="en-US"/>
          </a:p>
        </c:rich>
      </c:tx>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pPr>
            <a:solidFill>
              <a:schemeClr val="accent1"/>
            </a:solidFill>
            <a:ln w="9525">
              <a:solidFill>
                <a:schemeClr val="dk1">
                  <a:lumMod val="75000"/>
                  <a:lumOff val="25000"/>
                </a:schemeClr>
              </a:solidFill>
            </a:ln>
            <a:effectLst/>
          </c:spPr>
        </c:marker>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Pengmas'!$N$33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Pengmas'!$M$34:$M$41</c:f>
              <c:strCache>
                <c:ptCount val="7"/>
                <c:pt idx="0">
                  <c:v>Institut Pendidikan Tapanuli Selatan</c:v>
                </c:pt>
                <c:pt idx="1">
                  <c:v>Politeknik Negeri Banyuwangi</c:v>
                </c:pt>
                <c:pt idx="2">
                  <c:v>Politeknik Negeri Batam</c:v>
                </c:pt>
                <c:pt idx="3">
                  <c:v>Politeknik Perikanan Negeri Tual</c:v>
                </c:pt>
                <c:pt idx="4">
                  <c:v>Universitas Negeri Semarang</c:v>
                </c:pt>
                <c:pt idx="5">
                  <c:v>Universitas Sam Ratulangi</c:v>
                </c:pt>
                <c:pt idx="6">
                  <c:v>Universitas Surabaya</c:v>
                </c:pt>
              </c:strCache>
            </c:strRef>
          </c:cat>
          <c:val>
            <c:numRef>
              <c:f>'Grafik Pengmas'!$N$34:$N$41</c:f>
              <c:numCache>
                <c:formatCode>General</c:formatCode>
                <c:ptCount val="7"/>
                <c:pt idx="0">
                  <c:v>1</c:v>
                </c:pt>
                <c:pt idx="1">
                  <c:v>1</c:v>
                </c:pt>
                <c:pt idx="2">
                  <c:v>1</c:v>
                </c:pt>
                <c:pt idx="3">
                  <c:v>1</c:v>
                </c:pt>
                <c:pt idx="4">
                  <c:v>1</c:v>
                </c:pt>
                <c:pt idx="5">
                  <c:v>3</c:v>
                </c:pt>
                <c:pt idx="6">
                  <c:v>1</c:v>
                </c:pt>
              </c:numCache>
            </c:numRef>
          </c:val>
          <c:extLst xmlns:c16r2="http://schemas.microsoft.com/office/drawing/2015/06/chart">
            <c:ext xmlns:c16="http://schemas.microsoft.com/office/drawing/2014/chart" uri="{C3380CC4-5D6E-409C-BE32-E72D297353CC}">
              <c16:uniqueId val="{00000000-E124-43BF-851E-5E0445F38467}"/>
            </c:ext>
          </c:extLst>
        </c:ser>
        <c:dLbls>
          <c:showLegendKey val="0"/>
          <c:showVal val="1"/>
          <c:showCatName val="0"/>
          <c:showSerName val="0"/>
          <c:showPercent val="0"/>
          <c:showBubbleSize val="0"/>
        </c:dLbls>
        <c:gapWidth val="84"/>
        <c:gapDepth val="53"/>
        <c:shape val="box"/>
        <c:axId val="251480704"/>
        <c:axId val="251481264"/>
        <c:axId val="0"/>
      </c:bar3DChart>
      <c:catAx>
        <c:axId val="2514807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481264"/>
        <c:crosses val="autoZero"/>
        <c:auto val="1"/>
        <c:lblAlgn val="ctr"/>
        <c:lblOffset val="100"/>
        <c:tickLblSkip val="1"/>
        <c:noMultiLvlLbl val="0"/>
      </c:catAx>
      <c:valAx>
        <c:axId val="251481264"/>
        <c:scaling>
          <c:orientation val="minMax"/>
        </c:scaling>
        <c:delete val="1"/>
        <c:axPos val="b"/>
        <c:numFmt formatCode="General" sourceLinked="1"/>
        <c:majorTickMark val="out"/>
        <c:minorTickMark val="none"/>
        <c:tickLblPos val="nextTo"/>
        <c:crossAx val="251480704"/>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Pengmas!PivotTable6</c:name>
    <c:fmtId val="2"/>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sz="1200"/>
              <a:t>SKEMA</a:t>
            </a:r>
            <a:r>
              <a:rPr lang="en-US" sz="1200" baseline="0"/>
              <a:t> PENGABDIAN MASYARAKAT</a:t>
            </a:r>
            <a:endParaRPr lang="en-US"/>
          </a:p>
        </c:rich>
      </c:tx>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Pengmas'!$V$3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'Grafik Pengmas'!$U$4:$U$8</c:f>
              <c:strCache>
                <c:ptCount val="4"/>
                <c:pt idx="0">
                  <c:v>KKN-PPM</c:v>
                </c:pt>
                <c:pt idx="1">
                  <c:v>PKM</c:v>
                </c:pt>
                <c:pt idx="2">
                  <c:v>PKMS</c:v>
                </c:pt>
                <c:pt idx="3">
                  <c:v>PPDM</c:v>
                </c:pt>
              </c:strCache>
            </c:strRef>
          </c:cat>
          <c:val>
            <c:numRef>
              <c:f>'Grafik Pengmas'!$V$4:$V$8</c:f>
              <c:numCache>
                <c:formatCode>General</c:formatCode>
                <c:ptCount val="4"/>
                <c:pt idx="0">
                  <c:v>1</c:v>
                </c:pt>
                <c:pt idx="1">
                  <c:v>4</c:v>
                </c:pt>
                <c:pt idx="2">
                  <c:v>2</c:v>
                </c:pt>
                <c:pt idx="3">
                  <c:v>2</c:v>
                </c:pt>
              </c:numCache>
            </c:numRef>
          </c:val>
          <c:extLst xmlns:c16r2="http://schemas.microsoft.com/office/drawing/2015/06/chart">
            <c:ext xmlns:c16="http://schemas.microsoft.com/office/drawing/2014/chart" uri="{C3380CC4-5D6E-409C-BE32-E72D297353CC}">
              <c16:uniqueId val="{00000000-55C7-4580-883E-0C39691F8F74}"/>
            </c:ext>
          </c:extLst>
        </c:ser>
        <c:dLbls>
          <c:showLegendKey val="0"/>
          <c:showVal val="1"/>
          <c:showCatName val="0"/>
          <c:showSerName val="0"/>
          <c:showPercent val="0"/>
          <c:showBubbleSize val="0"/>
        </c:dLbls>
        <c:gapWidth val="84"/>
        <c:gapDepth val="53"/>
        <c:shape val="box"/>
        <c:axId val="251483504"/>
        <c:axId val="251484064"/>
        <c:axId val="0"/>
      </c:bar3DChart>
      <c:catAx>
        <c:axId val="251483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484064"/>
        <c:crosses val="autoZero"/>
        <c:auto val="1"/>
        <c:lblAlgn val="ctr"/>
        <c:lblOffset val="100"/>
        <c:noMultiLvlLbl val="0"/>
      </c:catAx>
      <c:valAx>
        <c:axId val="251484064"/>
        <c:scaling>
          <c:orientation val="minMax"/>
        </c:scaling>
        <c:delete val="1"/>
        <c:axPos val="b"/>
        <c:numFmt formatCode="General" sourceLinked="1"/>
        <c:majorTickMark val="out"/>
        <c:minorTickMark val="none"/>
        <c:tickLblPos val="nextTo"/>
        <c:crossAx val="251483504"/>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Pengmas!PivotTable7</c:name>
    <c:fmtId val="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sz="1200"/>
              <a:t>TOTAL PENDANAAN</a:t>
            </a:r>
            <a:r>
              <a:rPr lang="en-US" sz="1200" baseline="0"/>
              <a:t> PENGABDIAN MASYARAKAT </a:t>
            </a:r>
          </a:p>
          <a:p>
            <a:pPr>
              <a:defRPr/>
            </a:pPr>
            <a:r>
              <a:rPr lang="en-US" sz="1200" baseline="0"/>
              <a:t>PER TAHUN</a:t>
            </a:r>
            <a:endParaRPr lang="en-US" sz="1200"/>
          </a:p>
        </c:rich>
      </c:tx>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Pengmas'!$V$31</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Pengmas'!$U$32:$U$36</c:f>
              <c:strCache>
                <c:ptCount val="4"/>
                <c:pt idx="0">
                  <c:v>2017</c:v>
                </c:pt>
                <c:pt idx="1">
                  <c:v>2018</c:v>
                </c:pt>
                <c:pt idx="2">
                  <c:v>2019</c:v>
                </c:pt>
                <c:pt idx="3">
                  <c:v>2020</c:v>
                </c:pt>
              </c:strCache>
            </c:strRef>
          </c:cat>
          <c:val>
            <c:numRef>
              <c:f>'Grafik Pengmas'!$V$32:$V$36</c:f>
              <c:numCache>
                <c:formatCode>General</c:formatCode>
                <c:ptCount val="4"/>
                <c:pt idx="0">
                  <c:v>205000000</c:v>
                </c:pt>
                <c:pt idx="1">
                  <c:v>120000000</c:v>
                </c:pt>
                <c:pt idx="2">
                  <c:v>183000000</c:v>
                </c:pt>
                <c:pt idx="3">
                  <c:v>60000000</c:v>
                </c:pt>
              </c:numCache>
            </c:numRef>
          </c:val>
          <c:extLst xmlns:c16r2="http://schemas.microsoft.com/office/drawing/2015/06/chart">
            <c:ext xmlns:c16="http://schemas.microsoft.com/office/drawing/2014/chart" uri="{C3380CC4-5D6E-409C-BE32-E72D297353CC}">
              <c16:uniqueId val="{00000000-5A12-4531-8EA4-2CEA22759E58}"/>
            </c:ext>
          </c:extLst>
        </c:ser>
        <c:dLbls>
          <c:showLegendKey val="0"/>
          <c:showVal val="0"/>
          <c:showCatName val="0"/>
          <c:showSerName val="0"/>
          <c:showPercent val="0"/>
          <c:showBubbleSize val="0"/>
        </c:dLbls>
        <c:gapWidth val="84"/>
        <c:gapDepth val="53"/>
        <c:shape val="box"/>
        <c:axId val="251486304"/>
        <c:axId val="251486864"/>
        <c:axId val="0"/>
      </c:bar3DChart>
      <c:catAx>
        <c:axId val="251486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1486864"/>
        <c:crosses val="autoZero"/>
        <c:auto val="1"/>
        <c:lblAlgn val="ctr"/>
        <c:lblOffset val="100"/>
        <c:noMultiLvlLbl val="0"/>
      </c:catAx>
      <c:valAx>
        <c:axId val="251486864"/>
        <c:scaling>
          <c:orientation val="minMax"/>
        </c:scaling>
        <c:delete val="1"/>
        <c:axPos val="l"/>
        <c:numFmt formatCode="General" sourceLinked="1"/>
        <c:majorTickMark val="out"/>
        <c:minorTickMark val="none"/>
        <c:tickLblPos val="nextTo"/>
        <c:crossAx val="251486304"/>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Pengmas!PivotTable8</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JUMLAH </a:t>
            </a:r>
            <a:r>
              <a:rPr lang="en-US" b="0"/>
              <a:t>PENGABDIAN</a:t>
            </a:r>
            <a:r>
              <a:rPr lang="en-US"/>
              <a:t> MASYARAKAT TERDANAI</a:t>
            </a:r>
            <a:br>
              <a:rPr lang="en-US"/>
            </a:br>
            <a:r>
              <a:rPr lang="en-US"/>
              <a:t>PER TAHUN</a:t>
            </a:r>
          </a:p>
        </c:rich>
      </c:tx>
      <c:layout>
        <c:manualLayout>
          <c:xMode val="edge"/>
          <c:yMode val="edge"/>
          <c:x val="0.13530912802566344"/>
          <c:y val="2.9086678301337987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'Grafik Pengmas'!$AB$3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Pengmas'!$AA$4:$AA$8</c:f>
              <c:strCache>
                <c:ptCount val="4"/>
                <c:pt idx="0">
                  <c:v>2017</c:v>
                </c:pt>
                <c:pt idx="1">
                  <c:v>2018</c:v>
                </c:pt>
                <c:pt idx="2">
                  <c:v>2019</c:v>
                </c:pt>
                <c:pt idx="3">
                  <c:v>2020</c:v>
                </c:pt>
              </c:strCache>
            </c:strRef>
          </c:cat>
          <c:val>
            <c:numRef>
              <c:f>'Grafik Pengmas'!$AB$4:$AB$8</c:f>
              <c:numCache>
                <c:formatCode>General</c:formatCode>
                <c:ptCount val="4"/>
                <c:pt idx="0">
                  <c:v>3</c:v>
                </c:pt>
                <c:pt idx="1">
                  <c:v>2</c:v>
                </c:pt>
                <c:pt idx="2">
                  <c:v>3</c:v>
                </c:pt>
                <c:pt idx="3">
                  <c:v>1</c:v>
                </c:pt>
              </c:numCache>
            </c:numRef>
          </c:val>
          <c:smooth val="0"/>
          <c:extLst xmlns:c16r2="http://schemas.microsoft.com/office/drawing/2015/06/chart">
            <c:ext xmlns:c16="http://schemas.microsoft.com/office/drawing/2014/chart" uri="{C3380CC4-5D6E-409C-BE32-E72D297353CC}">
              <c16:uniqueId val="{00000000-D3DB-439C-9633-91FB641E0B5E}"/>
            </c:ext>
          </c:extLst>
        </c:ser>
        <c:dLbls>
          <c:showLegendKey val="0"/>
          <c:showVal val="0"/>
          <c:showCatName val="0"/>
          <c:showSerName val="0"/>
          <c:showPercent val="0"/>
          <c:showBubbleSize val="0"/>
        </c:dLbls>
        <c:marker val="1"/>
        <c:smooth val="0"/>
        <c:axId val="252337760"/>
        <c:axId val="252338320"/>
      </c:lineChart>
      <c:catAx>
        <c:axId val="25233776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2338320"/>
        <c:crosses val="autoZero"/>
        <c:auto val="1"/>
        <c:lblAlgn val="ctr"/>
        <c:lblOffset val="100"/>
        <c:noMultiLvlLbl val="0"/>
      </c:catAx>
      <c:valAx>
        <c:axId val="25233832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233776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Penelitian!PivotTable4</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'Grafik Penelitian'!$F$3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elete val="1"/>
          </c:dLbls>
          <c:cat>
            <c:strRef>
              <c:f>'Grafik Penelitian'!$E$4:$E$8</c:f>
              <c:strCache>
                <c:ptCount val="4"/>
                <c:pt idx="0">
                  <c:v>2017</c:v>
                </c:pt>
                <c:pt idx="1">
                  <c:v>2018</c:v>
                </c:pt>
                <c:pt idx="2">
                  <c:v>2019</c:v>
                </c:pt>
                <c:pt idx="3">
                  <c:v>2020</c:v>
                </c:pt>
              </c:strCache>
            </c:strRef>
          </c:cat>
          <c:val>
            <c:numRef>
              <c:f>'Grafik Penelitian'!$F$4:$F$8</c:f>
              <c:numCache>
                <c:formatCode>General</c:formatCode>
                <c:ptCount val="4"/>
                <c:pt idx="0">
                  <c:v>1658000000</c:v>
                </c:pt>
                <c:pt idx="1">
                  <c:v>1618000000</c:v>
                </c:pt>
                <c:pt idx="2">
                  <c:v>1218000000</c:v>
                </c:pt>
                <c:pt idx="3">
                  <c:v>1738000000</c:v>
                </c:pt>
              </c:numCache>
            </c:numRef>
          </c:val>
          <c:extLst xmlns:c16r2="http://schemas.microsoft.com/office/drawing/2015/06/chart">
            <c:ext xmlns:c16="http://schemas.microsoft.com/office/drawing/2014/chart" uri="{C3380CC4-5D6E-409C-BE32-E72D297353CC}">
              <c16:uniqueId val="{00000000-5BF0-4D7D-AFD3-20B141C49ECC}"/>
            </c:ext>
          </c:extLst>
        </c:ser>
        <c:dLbls>
          <c:showLegendKey val="0"/>
          <c:showVal val="1"/>
          <c:showCatName val="0"/>
          <c:showSerName val="0"/>
          <c:showPercent val="0"/>
          <c:showBubbleSize val="0"/>
        </c:dLbls>
        <c:gapWidth val="150"/>
        <c:shape val="box"/>
        <c:axId val="252341680"/>
        <c:axId val="252342240"/>
        <c:axId val="0"/>
      </c:bar3DChart>
      <c:catAx>
        <c:axId val="252341680"/>
        <c:scaling>
          <c:orientation val="minMax"/>
        </c:scaling>
        <c:delete val="1"/>
        <c:axPos val="b"/>
        <c:numFmt formatCode="General" sourceLinked="1"/>
        <c:majorTickMark val="none"/>
        <c:minorTickMark val="none"/>
        <c:tickLblPos val="nextTo"/>
        <c:crossAx val="252342240"/>
        <c:crosses val="autoZero"/>
        <c:auto val="1"/>
        <c:lblAlgn val="ctr"/>
        <c:lblOffset val="100"/>
        <c:noMultiLvlLbl val="0"/>
      </c:catAx>
      <c:valAx>
        <c:axId val="252342240"/>
        <c:scaling>
          <c:orientation val="minMax"/>
        </c:scaling>
        <c:delete val="1"/>
        <c:axPos val="l"/>
        <c:numFmt formatCode="General" sourceLinked="1"/>
        <c:majorTickMark val="none"/>
        <c:minorTickMark val="none"/>
        <c:tickLblPos val="nextTo"/>
        <c:crossAx val="252341680"/>
        <c:crosses val="autoZero"/>
        <c:crossBetween val="between"/>
      </c:valAx>
      <c:dTable>
        <c:showHorzBorder val="1"/>
        <c:showVertBorder val="1"/>
        <c:showOutline val="1"/>
        <c:showKeys val="0"/>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Penelitian!PivotTable5</c:name>
    <c:fmtId val="2"/>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'Grafik Penelitian'!$F$18</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delete val="1"/>
          </c:dLbls>
          <c:cat>
            <c:strRef>
              <c:f>'Grafik Penelitian'!$E$19:$E$23</c:f>
              <c:strCache>
                <c:ptCount val="4"/>
                <c:pt idx="0">
                  <c:v>2017</c:v>
                </c:pt>
                <c:pt idx="1">
                  <c:v>2018</c:v>
                </c:pt>
                <c:pt idx="2">
                  <c:v>2019</c:v>
                </c:pt>
                <c:pt idx="3">
                  <c:v>2020</c:v>
                </c:pt>
              </c:strCache>
            </c:strRef>
          </c:cat>
          <c:val>
            <c:numRef>
              <c:f>'Grafik Penelitian'!$F$19:$F$23</c:f>
              <c:numCache>
                <c:formatCode>General</c:formatCode>
                <c:ptCount val="4"/>
                <c:pt idx="0">
                  <c:v>26</c:v>
                </c:pt>
                <c:pt idx="1">
                  <c:v>26</c:v>
                </c:pt>
                <c:pt idx="2">
                  <c:v>20</c:v>
                </c:pt>
                <c:pt idx="3">
                  <c:v>28</c:v>
                </c:pt>
              </c:numCache>
            </c:numRef>
          </c:val>
          <c:smooth val="0"/>
          <c:extLst xmlns:c16r2="http://schemas.microsoft.com/office/drawing/2015/06/chart">
            <c:ext xmlns:c16="http://schemas.microsoft.com/office/drawing/2014/chart" uri="{C3380CC4-5D6E-409C-BE32-E72D297353CC}">
              <c16:uniqueId val="{00000000-E42A-48D0-9185-A57FBFB4D539}"/>
            </c:ext>
          </c:extLst>
        </c:ser>
        <c:dLbls>
          <c:dLblPos val="ctr"/>
          <c:showLegendKey val="0"/>
          <c:showVal val="1"/>
          <c:showCatName val="0"/>
          <c:showSerName val="0"/>
          <c:showPercent val="0"/>
          <c:showBubbleSize val="0"/>
        </c:dLbls>
        <c:marker val="1"/>
        <c:smooth val="0"/>
        <c:axId val="252345040"/>
        <c:axId val="252345600"/>
      </c:lineChart>
      <c:catAx>
        <c:axId val="252345040"/>
        <c:scaling>
          <c:orientation val="minMax"/>
        </c:scaling>
        <c:delete val="1"/>
        <c:axPos val="b"/>
        <c:numFmt formatCode="General" sourceLinked="1"/>
        <c:majorTickMark val="none"/>
        <c:minorTickMark val="none"/>
        <c:tickLblPos val="nextTo"/>
        <c:crossAx val="252345600"/>
        <c:crosses val="autoZero"/>
        <c:auto val="1"/>
        <c:lblAlgn val="ctr"/>
        <c:lblOffset val="100"/>
        <c:noMultiLvlLbl val="0"/>
      </c:catAx>
      <c:valAx>
        <c:axId val="252345600"/>
        <c:scaling>
          <c:orientation val="minMax"/>
        </c:scaling>
        <c:delete val="1"/>
        <c:axPos val="l"/>
        <c:numFmt formatCode="General" sourceLinked="1"/>
        <c:majorTickMark val="none"/>
        <c:minorTickMark val="none"/>
        <c:tickLblPos val="nextTo"/>
        <c:crossAx val="252345040"/>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Penelitian'!$E$34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'Grafik Penelitian'!$D$35:$D$37</c:f>
              <c:strCache>
                <c:ptCount val="2"/>
                <c:pt idx="0">
                  <c:v>Baru</c:v>
                </c:pt>
                <c:pt idx="1">
                  <c:v>Lanjutan</c:v>
                </c:pt>
              </c:strCache>
            </c:strRef>
          </c:cat>
          <c:val>
            <c:numRef>
              <c:f>'Grafik Penelitian'!$E$35:$E$37</c:f>
              <c:numCache>
                <c:formatCode>General</c:formatCode>
                <c:ptCount val="2"/>
                <c:pt idx="0">
                  <c:v>52</c:v>
                </c:pt>
                <c:pt idx="1">
                  <c:v>48</c:v>
                </c:pt>
              </c:numCache>
            </c:numRef>
          </c:val>
          <c:extLst xmlns:c16r2="http://schemas.microsoft.com/office/drawing/2015/06/chart">
            <c:ext xmlns:c16="http://schemas.microsoft.com/office/drawing/2014/chart" uri="{C3380CC4-5D6E-409C-BE32-E72D297353CC}">
              <c16:uniqueId val="{00000000-8F5F-4BDC-8A31-B0C0C991A217}"/>
            </c:ext>
          </c:extLst>
        </c:ser>
        <c:dLbls>
          <c:showLegendKey val="0"/>
          <c:showVal val="0"/>
          <c:showCatName val="0"/>
          <c:showSerName val="0"/>
          <c:showPercent val="0"/>
          <c:showBubbleSize val="0"/>
        </c:dLbls>
        <c:gapWidth val="150"/>
        <c:shape val="box"/>
        <c:axId val="252348400"/>
        <c:axId val="252348960"/>
        <c:axId val="0"/>
      </c:bar3DChart>
      <c:catAx>
        <c:axId val="252348400"/>
        <c:scaling>
          <c:orientation val="minMax"/>
        </c:scaling>
        <c:delete val="1"/>
        <c:axPos val="b"/>
        <c:numFmt formatCode="General" sourceLinked="1"/>
        <c:majorTickMark val="none"/>
        <c:minorTickMark val="none"/>
        <c:tickLblPos val="nextTo"/>
        <c:crossAx val="252348960"/>
        <c:crosses val="autoZero"/>
        <c:auto val="1"/>
        <c:lblAlgn val="ctr"/>
        <c:lblOffset val="100"/>
        <c:noMultiLvlLbl val="0"/>
      </c:catAx>
      <c:valAx>
        <c:axId val="252348960"/>
        <c:scaling>
          <c:orientation val="minMax"/>
        </c:scaling>
        <c:delete val="1"/>
        <c:axPos val="l"/>
        <c:numFmt formatCode="General" sourceLinked="1"/>
        <c:majorTickMark val="none"/>
        <c:minorTickMark val="none"/>
        <c:tickLblPos val="nextTo"/>
        <c:crossAx val="25234840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Penelitian!Ins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Penelitian'!$T$4</c:f>
              <c:strCache>
                <c:ptCount val="1"/>
                <c:pt idx="0">
                  <c:v>Total</c:v>
                </c:pt>
              </c:strCache>
            </c:strRef>
          </c:tx>
          <c:spPr>
            <a:solidFill>
              <a:schemeClr val="accent1"/>
            </a:solidFill>
            <a:ln>
              <a:noFill/>
            </a:ln>
            <a:effectLst/>
            <a:sp3d/>
          </c:spPr>
          <c:invertIfNegative val="0"/>
          <c:cat>
            <c:strRef>
              <c:f>'Grafik Penelitian'!$S$5:$S$9</c:f>
              <c:strCache>
                <c:ptCount val="4"/>
                <c:pt idx="0">
                  <c:v>Sekolah Tinggi Ilmu Kesehatan Baiturrahim</c:v>
                </c:pt>
                <c:pt idx="1">
                  <c:v>Universitas Bhayangkara Jakarta Raya</c:v>
                </c:pt>
                <c:pt idx="2">
                  <c:v>Universitas Mercu Buana</c:v>
                </c:pt>
                <c:pt idx="3">
                  <c:v>Universitas Sebelas Maret</c:v>
                </c:pt>
              </c:strCache>
            </c:strRef>
          </c:cat>
          <c:val>
            <c:numRef>
              <c:f>'Grafik Penelitian'!$T$5:$T$9</c:f>
              <c:numCache>
                <c:formatCode>General</c:formatCode>
                <c:ptCount val="4"/>
                <c:pt idx="0">
                  <c:v>1</c:v>
                </c:pt>
                <c:pt idx="1">
                  <c:v>1</c:v>
                </c:pt>
                <c:pt idx="2">
                  <c:v>2</c:v>
                </c:pt>
                <c:pt idx="3">
                  <c:v>1</c:v>
                </c:pt>
              </c:numCache>
            </c:numRef>
          </c:val>
          <c:extLst xmlns:c16r2="http://schemas.microsoft.com/office/drawing/2015/06/chart">
            <c:ext xmlns:c16="http://schemas.microsoft.com/office/drawing/2014/chart" uri="{C3380CC4-5D6E-409C-BE32-E72D297353CC}">
              <c16:uniqueId val="{00000000-E4C0-400E-BE50-07FDED70D1D5}"/>
            </c:ext>
          </c:extLst>
        </c:ser>
        <c:dLbls>
          <c:showLegendKey val="0"/>
          <c:showVal val="0"/>
          <c:showCatName val="0"/>
          <c:showSerName val="0"/>
          <c:showPercent val="0"/>
          <c:showBubbleSize val="0"/>
        </c:dLbls>
        <c:gapWidth val="150"/>
        <c:shape val="box"/>
        <c:axId val="252351760"/>
        <c:axId val="252352320"/>
        <c:axId val="0"/>
      </c:bar3DChart>
      <c:catAx>
        <c:axId val="252351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52320"/>
        <c:crosses val="autoZero"/>
        <c:auto val="1"/>
        <c:lblAlgn val="ctr"/>
        <c:lblOffset val="100"/>
        <c:noMultiLvlLbl val="0"/>
      </c:catAx>
      <c:valAx>
        <c:axId val="252352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51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Penelitian!Ske</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Penelitian'!$X$3</c:f>
              <c:strCache>
                <c:ptCount val="1"/>
                <c:pt idx="0">
                  <c:v>Total</c:v>
                </c:pt>
              </c:strCache>
            </c:strRef>
          </c:tx>
          <c:spPr>
            <a:solidFill>
              <a:schemeClr val="accent1"/>
            </a:solidFill>
            <a:ln>
              <a:noFill/>
            </a:ln>
            <a:effectLst/>
            <a:sp3d/>
          </c:spPr>
          <c:invertIfNegative val="0"/>
          <c:cat>
            <c:strRef>
              <c:f>'Grafik Penelitian'!$W$4:$W$6</c:f>
              <c:strCache>
                <c:ptCount val="2"/>
                <c:pt idx="0">
                  <c:v>Penelitian Dosen Pemula</c:v>
                </c:pt>
                <c:pt idx="1">
                  <c:v>World Class Research</c:v>
                </c:pt>
              </c:strCache>
            </c:strRef>
          </c:cat>
          <c:val>
            <c:numRef>
              <c:f>'Grafik Penelitian'!$X$4:$X$6</c:f>
              <c:numCache>
                <c:formatCode>General</c:formatCode>
                <c:ptCount val="2"/>
                <c:pt idx="0">
                  <c:v>4</c:v>
                </c:pt>
                <c:pt idx="1">
                  <c:v>1</c:v>
                </c:pt>
              </c:numCache>
            </c:numRef>
          </c:val>
          <c:extLst xmlns:c16r2="http://schemas.microsoft.com/office/drawing/2015/06/chart">
            <c:ext xmlns:c16="http://schemas.microsoft.com/office/drawing/2014/chart" uri="{C3380CC4-5D6E-409C-BE32-E72D297353CC}">
              <c16:uniqueId val="{00000000-0126-4E08-8C33-CB1220B90EEB}"/>
            </c:ext>
          </c:extLst>
        </c:ser>
        <c:dLbls>
          <c:showLegendKey val="0"/>
          <c:showVal val="0"/>
          <c:showCatName val="0"/>
          <c:showSerName val="0"/>
          <c:showPercent val="0"/>
          <c:showBubbleSize val="0"/>
        </c:dLbls>
        <c:gapWidth val="150"/>
        <c:shape val="box"/>
        <c:axId val="262671520"/>
        <c:axId val="262672080"/>
        <c:axId val="0"/>
      </c:bar3DChart>
      <c:catAx>
        <c:axId val="262671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2080"/>
        <c:crosses val="autoZero"/>
        <c:auto val="1"/>
        <c:lblAlgn val="ctr"/>
        <c:lblOffset val="100"/>
        <c:noMultiLvlLbl val="0"/>
      </c:catAx>
      <c:valAx>
        <c:axId val="262672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Penelitian!Sta</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Penelitian'!$X$30</c:f>
              <c:strCache>
                <c:ptCount val="1"/>
                <c:pt idx="0">
                  <c:v>Total</c:v>
                </c:pt>
              </c:strCache>
            </c:strRef>
          </c:tx>
          <c:spPr>
            <a:solidFill>
              <a:schemeClr val="accent1"/>
            </a:solidFill>
            <a:ln>
              <a:noFill/>
            </a:ln>
            <a:effectLst/>
            <a:sp3d/>
          </c:spPr>
          <c:invertIfNegative val="0"/>
          <c:cat>
            <c:strRef>
              <c:f>'Grafik Penelitian'!$W$31:$W$33</c:f>
              <c:strCache>
                <c:ptCount val="2"/>
                <c:pt idx="0">
                  <c:v>Baru</c:v>
                </c:pt>
                <c:pt idx="1">
                  <c:v>Lanjutan</c:v>
                </c:pt>
              </c:strCache>
            </c:strRef>
          </c:cat>
          <c:val>
            <c:numRef>
              <c:f>'Grafik Penelitian'!$X$31:$X$33</c:f>
              <c:numCache>
                <c:formatCode>General</c:formatCode>
                <c:ptCount val="2"/>
                <c:pt idx="0">
                  <c:v>3</c:v>
                </c:pt>
                <c:pt idx="1">
                  <c:v>2</c:v>
                </c:pt>
              </c:numCache>
            </c:numRef>
          </c:val>
          <c:extLst xmlns:c16r2="http://schemas.microsoft.com/office/drawing/2015/06/chart">
            <c:ext xmlns:c16="http://schemas.microsoft.com/office/drawing/2014/chart" uri="{C3380CC4-5D6E-409C-BE32-E72D297353CC}">
              <c16:uniqueId val="{00000000-5FC4-4A1D-B9BB-F835949A9DA1}"/>
            </c:ext>
          </c:extLst>
        </c:ser>
        <c:dLbls>
          <c:showLegendKey val="0"/>
          <c:showVal val="0"/>
          <c:showCatName val="0"/>
          <c:showSerName val="0"/>
          <c:showPercent val="0"/>
          <c:showBubbleSize val="0"/>
        </c:dLbls>
        <c:gapWidth val="150"/>
        <c:shape val="box"/>
        <c:axId val="262674320"/>
        <c:axId val="262674880"/>
        <c:axId val="0"/>
      </c:bar3DChart>
      <c:catAx>
        <c:axId val="2626743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4880"/>
        <c:crosses val="autoZero"/>
        <c:auto val="1"/>
        <c:lblAlgn val="ctr"/>
        <c:lblOffset val="100"/>
        <c:noMultiLvlLbl val="0"/>
      </c:catAx>
      <c:valAx>
        <c:axId val="26267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4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Penelitian!Pend</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Penelitian'!$AB$3</c:f>
              <c:strCache>
                <c:ptCount val="1"/>
                <c:pt idx="0">
                  <c:v>Total</c:v>
                </c:pt>
              </c:strCache>
            </c:strRef>
          </c:tx>
          <c:spPr>
            <a:solidFill>
              <a:schemeClr val="accent1"/>
            </a:solidFill>
            <a:ln>
              <a:noFill/>
            </a:ln>
            <a:effectLst/>
            <a:sp3d/>
          </c:spPr>
          <c:invertIfNegative val="0"/>
          <c:cat>
            <c:strRef>
              <c:f>'Grafik Penelitian'!$AA$4:$AA$8</c:f>
              <c:strCache>
                <c:ptCount val="4"/>
                <c:pt idx="0">
                  <c:v>2017</c:v>
                </c:pt>
                <c:pt idx="1">
                  <c:v>2018</c:v>
                </c:pt>
                <c:pt idx="2">
                  <c:v>2019</c:v>
                </c:pt>
                <c:pt idx="3">
                  <c:v>2020</c:v>
                </c:pt>
              </c:strCache>
            </c:strRef>
          </c:cat>
          <c:val>
            <c:numRef>
              <c:f>'Grafik Penelitian'!$AB$4:$AB$8</c:f>
              <c:numCache>
                <c:formatCode>General</c:formatCode>
                <c:ptCount val="4"/>
                <c:pt idx="0">
                  <c:v>146000000</c:v>
                </c:pt>
                <c:pt idx="1">
                  <c:v>73000000</c:v>
                </c:pt>
                <c:pt idx="2">
                  <c:v>72000000</c:v>
                </c:pt>
                <c:pt idx="3">
                  <c:v>61000000</c:v>
                </c:pt>
              </c:numCache>
            </c:numRef>
          </c:val>
          <c:extLst xmlns:c16r2="http://schemas.microsoft.com/office/drawing/2015/06/chart">
            <c:ext xmlns:c16="http://schemas.microsoft.com/office/drawing/2014/chart" uri="{C3380CC4-5D6E-409C-BE32-E72D297353CC}">
              <c16:uniqueId val="{00000000-BFD3-49AC-B4A1-50EFE3A8EAEB}"/>
            </c:ext>
          </c:extLst>
        </c:ser>
        <c:dLbls>
          <c:showLegendKey val="0"/>
          <c:showVal val="0"/>
          <c:showCatName val="0"/>
          <c:showSerName val="0"/>
          <c:showPercent val="0"/>
          <c:showBubbleSize val="0"/>
        </c:dLbls>
        <c:gapWidth val="150"/>
        <c:shape val="box"/>
        <c:axId val="262677120"/>
        <c:axId val="262677680"/>
        <c:axId val="0"/>
      </c:bar3DChart>
      <c:catAx>
        <c:axId val="262677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7680"/>
        <c:crosses val="autoZero"/>
        <c:auto val="1"/>
        <c:lblAlgn val="ctr"/>
        <c:lblOffset val="100"/>
        <c:noMultiLvlLbl val="0"/>
      </c:catAx>
      <c:valAx>
        <c:axId val="262677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7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Penelitian!Jum</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'Grafik Penelitian'!$AB$26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'Grafik Penelitian'!$AA$27:$AA$31</c:f>
              <c:strCache>
                <c:ptCount val="4"/>
                <c:pt idx="0">
                  <c:v>2017</c:v>
                </c:pt>
                <c:pt idx="1">
                  <c:v>2018</c:v>
                </c:pt>
                <c:pt idx="2">
                  <c:v>2019</c:v>
                </c:pt>
                <c:pt idx="3">
                  <c:v>2020</c:v>
                </c:pt>
              </c:strCache>
            </c:strRef>
          </c:cat>
          <c:val>
            <c:numRef>
              <c:f>'Grafik Penelitian'!$AB$27:$AB$31</c:f>
              <c:numCache>
                <c:formatCode>General</c:formatCode>
                <c:ptCount val="4"/>
                <c:pt idx="0">
                  <c:v>2</c:v>
                </c:pt>
                <c:pt idx="1">
                  <c:v>1</c:v>
                </c:pt>
                <c:pt idx="2">
                  <c:v>1</c:v>
                </c:pt>
                <c:pt idx="3">
                  <c:v>1</c:v>
                </c:pt>
              </c:numCache>
            </c:numRef>
          </c:val>
          <c:smooth val="0"/>
          <c:extLst xmlns:c16r2="http://schemas.microsoft.com/office/drawing/2015/06/chart">
            <c:ext xmlns:c16="http://schemas.microsoft.com/office/drawing/2014/chart" uri="{C3380CC4-5D6E-409C-BE32-E72D297353CC}">
              <c16:uniqueId val="{00000000-CAEC-465B-B13D-07C84D5E08AD}"/>
            </c:ext>
          </c:extLst>
        </c:ser>
        <c:dLbls>
          <c:showLegendKey val="0"/>
          <c:showVal val="0"/>
          <c:showCatName val="0"/>
          <c:showSerName val="0"/>
          <c:showPercent val="0"/>
          <c:showBubbleSize val="0"/>
        </c:dLbls>
        <c:marker val="1"/>
        <c:smooth val="0"/>
        <c:axId val="262679920"/>
        <c:axId val="262680480"/>
      </c:lineChart>
      <c:catAx>
        <c:axId val="26267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80480"/>
        <c:crosses val="autoZero"/>
        <c:auto val="1"/>
        <c:lblAlgn val="ctr"/>
        <c:lblOffset val="100"/>
        <c:noMultiLvlLbl val="0"/>
      </c:catAx>
      <c:valAx>
        <c:axId val="26268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7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Pengmas!PivotTable1</c:name>
    <c:fmtId val="0"/>
  </c:pivotSource>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pPr>
            <a:solidFill>
              <a:schemeClr val="accent1"/>
            </a:solidFill>
            <a:ln w="9525">
              <a:solidFill>
                <a:schemeClr val="dk1">
                  <a:lumMod val="75000"/>
                  <a:lumOff val="25000"/>
                </a:schemeClr>
              </a:solidFill>
            </a:ln>
            <a:effectLst/>
          </c:spPr>
        </c:marker>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Pengmas'!$A$4:$A$18</c:f>
              <c:strCache>
                <c:ptCount val="14"/>
                <c:pt idx="0">
                  <c:v>LLDIKTI WILAYAH I</c:v>
                </c:pt>
                <c:pt idx="1">
                  <c:v>LLDIKTI WILAYAH II</c:v>
                </c:pt>
                <c:pt idx="2">
                  <c:v>LLDIKTI WILAYAH III</c:v>
                </c:pt>
                <c:pt idx="3">
                  <c:v>LLDIKTI WILAYAH IV</c:v>
                </c:pt>
                <c:pt idx="4">
                  <c:v>LLDIKTI WILAYAH IX</c:v>
                </c:pt>
                <c:pt idx="5">
                  <c:v>LLDIKTI WILAYAH V</c:v>
                </c:pt>
                <c:pt idx="6">
                  <c:v>LLDIKTI WILAYAH VI</c:v>
                </c:pt>
                <c:pt idx="7">
                  <c:v>LLDIKTI WILAYAH VII</c:v>
                </c:pt>
                <c:pt idx="8">
                  <c:v>LLDIKTI WILAYAH VIII</c:v>
                </c:pt>
                <c:pt idx="9">
                  <c:v>LLDIKTI WILAYAH X</c:v>
                </c:pt>
                <c:pt idx="10">
                  <c:v>LLDIKTI WILAYAH XI</c:v>
                </c:pt>
                <c:pt idx="11">
                  <c:v>LLDIKTI WILAYAH XII</c:v>
                </c:pt>
                <c:pt idx="12">
                  <c:v>LLDIKTI WILAYAH XIII</c:v>
                </c:pt>
                <c:pt idx="13">
                  <c:v>PTN</c:v>
                </c:pt>
              </c:strCache>
            </c:strRef>
          </c:cat>
          <c:val>
            <c:numRef>
              <c:f>'Grafik Pengmas'!$B$4:$B$18</c:f>
              <c:numCache>
                <c:formatCode>General</c:formatCode>
                <c:ptCount val="14"/>
                <c:pt idx="0">
                  <c:v>2</c:v>
                </c:pt>
                <c:pt idx="1">
                  <c:v>9</c:v>
                </c:pt>
                <c:pt idx="2">
                  <c:v>7</c:v>
                </c:pt>
                <c:pt idx="3">
                  <c:v>11</c:v>
                </c:pt>
                <c:pt idx="4">
                  <c:v>2</c:v>
                </c:pt>
                <c:pt idx="5">
                  <c:v>6</c:v>
                </c:pt>
                <c:pt idx="6">
                  <c:v>9</c:v>
                </c:pt>
                <c:pt idx="7">
                  <c:v>5</c:v>
                </c:pt>
                <c:pt idx="8">
                  <c:v>7</c:v>
                </c:pt>
                <c:pt idx="9">
                  <c:v>8</c:v>
                </c:pt>
                <c:pt idx="10">
                  <c:v>8</c:v>
                </c:pt>
                <c:pt idx="11">
                  <c:v>6</c:v>
                </c:pt>
                <c:pt idx="12">
                  <c:v>6</c:v>
                </c:pt>
                <c:pt idx="13">
                  <c:v>14</c:v>
                </c:pt>
              </c:numCache>
            </c:numRef>
          </c:val>
          <c:extLst xmlns:c16r2="http://schemas.microsoft.com/office/drawing/2015/06/chart">
            <c:ext xmlns:c16="http://schemas.microsoft.com/office/drawing/2014/chart" uri="{C3380CC4-5D6E-409C-BE32-E72D297353CC}">
              <c16:uniqueId val="{00000000-C18E-4EFA-AE07-A2F4D899C83F}"/>
            </c:ext>
          </c:extLst>
        </c:ser>
        <c:dLbls>
          <c:showLegendKey val="0"/>
          <c:showVal val="1"/>
          <c:showCatName val="0"/>
          <c:showSerName val="0"/>
          <c:showPercent val="0"/>
          <c:showBubbleSize val="0"/>
        </c:dLbls>
        <c:gapWidth val="84"/>
        <c:gapDepth val="53"/>
        <c:shape val="box"/>
        <c:axId val="262682720"/>
        <c:axId val="262683280"/>
        <c:axId val="0"/>
      </c:bar3DChart>
      <c:catAx>
        <c:axId val="262682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2683280"/>
        <c:crosses val="autoZero"/>
        <c:auto val="1"/>
        <c:lblAlgn val="ctr"/>
        <c:lblOffset val="100"/>
        <c:tickLblSkip val="1"/>
        <c:noMultiLvlLbl val="0"/>
      </c:catAx>
      <c:valAx>
        <c:axId val="262683280"/>
        <c:scaling>
          <c:orientation val="minMax"/>
        </c:scaling>
        <c:delete val="1"/>
        <c:axPos val="b"/>
        <c:majorGridlines>
          <c:spPr>
            <a:ln w="9525">
              <a:solidFill>
                <a:schemeClr val="lt1">
                  <a:lumMod val="50000"/>
                </a:schemeClr>
              </a:solidFill>
            </a:ln>
            <a:effectLst/>
          </c:spPr>
        </c:majorGridlines>
        <c:numFmt formatCode="General" sourceLinked="1"/>
        <c:majorTickMark val="out"/>
        <c:minorTickMark val="none"/>
        <c:tickLblPos val="nextTo"/>
        <c:crossAx val="262682720"/>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Pengmas!PivotTable2</c:name>
    <c:fmtId val="0"/>
  </c:pivotSource>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Pengmas'!$L$19</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Pengmas'!$K$20:$K$29</c:f>
              <c:strCache>
                <c:ptCount val="9"/>
                <c:pt idx="0">
                  <c:v>KKN-PPM</c:v>
                </c:pt>
                <c:pt idx="1">
                  <c:v>PKM</c:v>
                </c:pt>
                <c:pt idx="2">
                  <c:v>PKMS</c:v>
                </c:pt>
                <c:pt idx="3">
                  <c:v>PKW</c:v>
                </c:pt>
                <c:pt idx="4">
                  <c:v>PPDM</c:v>
                </c:pt>
                <c:pt idx="5">
                  <c:v>PPK</c:v>
                </c:pt>
                <c:pt idx="6">
                  <c:v>PPMUPT</c:v>
                </c:pt>
                <c:pt idx="7">
                  <c:v>PPPUD</c:v>
                </c:pt>
                <c:pt idx="8">
                  <c:v>PPUPIK</c:v>
                </c:pt>
              </c:strCache>
            </c:strRef>
          </c:cat>
          <c:val>
            <c:numRef>
              <c:f>'Grafik Pengmas'!$L$20:$L$29</c:f>
              <c:numCache>
                <c:formatCode>General</c:formatCode>
                <c:ptCount val="9"/>
                <c:pt idx="0">
                  <c:v>3</c:v>
                </c:pt>
                <c:pt idx="1">
                  <c:v>47</c:v>
                </c:pt>
                <c:pt idx="2">
                  <c:v>9</c:v>
                </c:pt>
                <c:pt idx="3">
                  <c:v>3</c:v>
                </c:pt>
                <c:pt idx="4">
                  <c:v>22</c:v>
                </c:pt>
                <c:pt idx="5">
                  <c:v>1</c:v>
                </c:pt>
                <c:pt idx="6">
                  <c:v>3</c:v>
                </c:pt>
                <c:pt idx="7">
                  <c:v>7</c:v>
                </c:pt>
                <c:pt idx="8">
                  <c:v>5</c:v>
                </c:pt>
              </c:numCache>
            </c:numRef>
          </c:val>
          <c:extLst xmlns:c16r2="http://schemas.microsoft.com/office/drawing/2015/06/chart">
            <c:ext xmlns:c16="http://schemas.microsoft.com/office/drawing/2014/chart" uri="{C3380CC4-5D6E-409C-BE32-E72D297353CC}">
              <c16:uniqueId val="{00000000-67D6-4496-9F7A-0558B888EEB2}"/>
            </c:ext>
          </c:extLst>
        </c:ser>
        <c:dLbls>
          <c:showLegendKey val="0"/>
          <c:showVal val="1"/>
          <c:showCatName val="0"/>
          <c:showSerName val="0"/>
          <c:showPercent val="0"/>
          <c:showBubbleSize val="0"/>
        </c:dLbls>
        <c:gapWidth val="84"/>
        <c:gapDepth val="53"/>
        <c:shape val="box"/>
        <c:axId val="262685520"/>
        <c:axId val="262686080"/>
        <c:axId val="0"/>
      </c:bar3DChart>
      <c:catAx>
        <c:axId val="262685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2686080"/>
        <c:crosses val="autoZero"/>
        <c:auto val="1"/>
        <c:lblAlgn val="ctr"/>
        <c:lblOffset val="100"/>
        <c:noMultiLvlLbl val="0"/>
      </c:catAx>
      <c:valAx>
        <c:axId val="262686080"/>
        <c:scaling>
          <c:orientation val="minMax"/>
        </c:scaling>
        <c:delete val="1"/>
        <c:axPos val="b"/>
        <c:numFmt formatCode="General" sourceLinked="1"/>
        <c:majorTickMark val="out"/>
        <c:minorTickMark val="none"/>
        <c:tickLblPos val="nextTo"/>
        <c:crossAx val="262685520"/>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Pengmas!PivotTable3</c:name>
    <c:fmtId val="0"/>
  </c:pivotSource>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Pengmas'!$B$24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Pengmas'!$A$25:$A$29</c:f>
              <c:strCache>
                <c:ptCount val="4"/>
                <c:pt idx="0">
                  <c:v>2017</c:v>
                </c:pt>
                <c:pt idx="1">
                  <c:v>2018</c:v>
                </c:pt>
                <c:pt idx="2">
                  <c:v>2019</c:v>
                </c:pt>
                <c:pt idx="3">
                  <c:v>2020</c:v>
                </c:pt>
              </c:strCache>
            </c:strRef>
          </c:cat>
          <c:val>
            <c:numRef>
              <c:f>'Grafik Pengmas'!$B$25:$B$29</c:f>
              <c:numCache>
                <c:formatCode>General</c:formatCode>
                <c:ptCount val="4"/>
                <c:pt idx="0">
                  <c:v>1180000000</c:v>
                </c:pt>
                <c:pt idx="1">
                  <c:v>2014000000</c:v>
                </c:pt>
                <c:pt idx="2">
                  <c:v>1451000000</c:v>
                </c:pt>
                <c:pt idx="3">
                  <c:v>1676000000</c:v>
                </c:pt>
              </c:numCache>
            </c:numRef>
          </c:val>
          <c:extLst xmlns:c16r2="http://schemas.microsoft.com/office/drawing/2015/06/chart">
            <c:ext xmlns:c16="http://schemas.microsoft.com/office/drawing/2014/chart" uri="{C3380CC4-5D6E-409C-BE32-E72D297353CC}">
              <c16:uniqueId val="{00000000-54FD-48F2-B8FD-6EA1D69AF6C0}"/>
            </c:ext>
          </c:extLst>
        </c:ser>
        <c:dLbls>
          <c:showLegendKey val="0"/>
          <c:showVal val="0"/>
          <c:showCatName val="0"/>
          <c:showSerName val="0"/>
          <c:showPercent val="0"/>
          <c:showBubbleSize val="0"/>
        </c:dLbls>
        <c:gapWidth val="84"/>
        <c:gapDepth val="53"/>
        <c:shape val="box"/>
        <c:axId val="264565312"/>
        <c:axId val="264565872"/>
        <c:axId val="0"/>
      </c:bar3DChart>
      <c:catAx>
        <c:axId val="264565312"/>
        <c:scaling>
          <c:orientation val="minMax"/>
        </c:scaling>
        <c:delete val="1"/>
        <c:axPos val="b"/>
        <c:numFmt formatCode="General" sourceLinked="1"/>
        <c:majorTickMark val="out"/>
        <c:minorTickMark val="none"/>
        <c:tickLblPos val="nextTo"/>
        <c:crossAx val="264565872"/>
        <c:crosses val="autoZero"/>
        <c:auto val="1"/>
        <c:lblAlgn val="ctr"/>
        <c:lblOffset val="100"/>
        <c:noMultiLvlLbl val="0"/>
      </c:catAx>
      <c:valAx>
        <c:axId val="264565872"/>
        <c:scaling>
          <c:orientation val="minMax"/>
        </c:scaling>
        <c:delete val="1"/>
        <c:axPos val="l"/>
        <c:numFmt formatCode="General" sourceLinked="1"/>
        <c:majorTickMark val="out"/>
        <c:minorTickMark val="none"/>
        <c:tickLblPos val="nextTo"/>
        <c:crossAx val="264565312"/>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Pengmas!PivotTable4</c:name>
    <c:fmtId val="0"/>
  </c:pivotSource>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Pengmas'!$K$34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cat>
            <c:strRef>
              <c:f>'Grafik Pengmas'!$J$35:$J$39</c:f>
              <c:strCache>
                <c:ptCount val="4"/>
                <c:pt idx="0">
                  <c:v>2017</c:v>
                </c:pt>
                <c:pt idx="1">
                  <c:v>2018</c:v>
                </c:pt>
                <c:pt idx="2">
                  <c:v>2019</c:v>
                </c:pt>
                <c:pt idx="3">
                  <c:v>2020</c:v>
                </c:pt>
              </c:strCache>
            </c:strRef>
          </c:cat>
          <c:val>
            <c:numRef>
              <c:f>'Grafik Pengmas'!$K$35:$K$39</c:f>
              <c:numCache>
                <c:formatCode>General</c:formatCode>
                <c:ptCount val="4"/>
                <c:pt idx="0">
                  <c:v>19</c:v>
                </c:pt>
                <c:pt idx="1">
                  <c:v>31</c:v>
                </c:pt>
                <c:pt idx="2">
                  <c:v>23</c:v>
                </c:pt>
                <c:pt idx="3">
                  <c:v>27</c:v>
                </c:pt>
              </c:numCache>
            </c:numRef>
          </c:val>
          <c:extLst xmlns:c16r2="http://schemas.microsoft.com/office/drawing/2015/06/chart">
            <c:ext xmlns:c16="http://schemas.microsoft.com/office/drawing/2014/chart" uri="{C3380CC4-5D6E-409C-BE32-E72D297353CC}">
              <c16:uniqueId val="{00000000-F8C8-40CD-B7A2-95BA07A61530}"/>
            </c:ext>
          </c:extLst>
        </c:ser>
        <c:dLbls>
          <c:showLegendKey val="0"/>
          <c:showVal val="0"/>
          <c:showCatName val="0"/>
          <c:showSerName val="0"/>
          <c:showPercent val="0"/>
          <c:showBubbleSize val="0"/>
        </c:dLbls>
        <c:gapWidth val="84"/>
        <c:gapDepth val="53"/>
        <c:shape val="box"/>
        <c:axId val="264568672"/>
        <c:axId val="264569232"/>
        <c:axId val="0"/>
      </c:bar3DChart>
      <c:catAx>
        <c:axId val="264568672"/>
        <c:scaling>
          <c:orientation val="minMax"/>
        </c:scaling>
        <c:delete val="1"/>
        <c:axPos val="b"/>
        <c:numFmt formatCode="General" sourceLinked="1"/>
        <c:majorTickMark val="out"/>
        <c:minorTickMark val="none"/>
        <c:tickLblPos val="nextTo"/>
        <c:crossAx val="264569232"/>
        <c:crosses val="autoZero"/>
        <c:auto val="1"/>
        <c:lblAlgn val="ctr"/>
        <c:lblOffset val="100"/>
        <c:noMultiLvlLbl val="0"/>
      </c:catAx>
      <c:valAx>
        <c:axId val="264569232"/>
        <c:scaling>
          <c:orientation val="minMax"/>
        </c:scaling>
        <c:delete val="1"/>
        <c:axPos val="l"/>
        <c:numFmt formatCode="General" sourceLinked="1"/>
        <c:majorTickMark val="out"/>
        <c:minorTickMark val="none"/>
        <c:tickLblPos val="nextTo"/>
        <c:crossAx val="264568672"/>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Pengmas'!$N$33</c:f>
              <c:strCache>
                <c:ptCount val="1"/>
                <c:pt idx="0">
                  <c:v>Total</c:v>
                </c:pt>
              </c:strCache>
            </c:strRef>
          </c:tx>
          <c:spPr>
            <a:solidFill>
              <a:schemeClr val="accent1"/>
            </a:solidFill>
            <a:ln>
              <a:noFill/>
            </a:ln>
            <a:effectLst/>
            <a:sp3d/>
          </c:spPr>
          <c:invertIfNegative val="0"/>
          <c:cat>
            <c:strRef>
              <c:f>'Grafik Pengmas'!$M$34:$M$41</c:f>
              <c:strCache>
                <c:ptCount val="7"/>
                <c:pt idx="0">
                  <c:v>Institut Pendidikan Tapanuli Selatan</c:v>
                </c:pt>
                <c:pt idx="1">
                  <c:v>Politeknik Negeri Banyuwangi</c:v>
                </c:pt>
                <c:pt idx="2">
                  <c:v>Politeknik Negeri Batam</c:v>
                </c:pt>
                <c:pt idx="3">
                  <c:v>Politeknik Perikanan Negeri Tual</c:v>
                </c:pt>
                <c:pt idx="4">
                  <c:v>Universitas Negeri Semarang</c:v>
                </c:pt>
                <c:pt idx="5">
                  <c:v>Universitas Sam Ratulangi</c:v>
                </c:pt>
                <c:pt idx="6">
                  <c:v>Universitas Surabaya</c:v>
                </c:pt>
              </c:strCache>
            </c:strRef>
          </c:cat>
          <c:val>
            <c:numRef>
              <c:f>'Grafik Pengmas'!$N$34:$N$41</c:f>
              <c:numCache>
                <c:formatCode>General</c:formatCode>
                <c:ptCount val="7"/>
                <c:pt idx="0">
                  <c:v>1</c:v>
                </c:pt>
                <c:pt idx="1">
                  <c:v>1</c:v>
                </c:pt>
                <c:pt idx="2">
                  <c:v>1</c:v>
                </c:pt>
                <c:pt idx="3">
                  <c:v>1</c:v>
                </c:pt>
                <c:pt idx="4">
                  <c:v>1</c:v>
                </c:pt>
                <c:pt idx="5">
                  <c:v>3</c:v>
                </c:pt>
                <c:pt idx="6">
                  <c:v>1</c:v>
                </c:pt>
              </c:numCache>
            </c:numRef>
          </c:val>
          <c:extLst xmlns:c16r2="http://schemas.microsoft.com/office/drawing/2015/06/chart">
            <c:ext xmlns:c16="http://schemas.microsoft.com/office/drawing/2014/chart" uri="{C3380CC4-5D6E-409C-BE32-E72D297353CC}">
              <c16:uniqueId val="{00000000-A036-441C-9226-256F50934966}"/>
            </c:ext>
          </c:extLst>
        </c:ser>
        <c:dLbls>
          <c:showLegendKey val="0"/>
          <c:showVal val="0"/>
          <c:showCatName val="0"/>
          <c:showSerName val="0"/>
          <c:showPercent val="0"/>
          <c:showBubbleSize val="0"/>
        </c:dLbls>
        <c:gapWidth val="150"/>
        <c:shape val="box"/>
        <c:axId val="264572032"/>
        <c:axId val="264572592"/>
        <c:axId val="0"/>
      </c:bar3DChart>
      <c:catAx>
        <c:axId val="26457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2592"/>
        <c:crosses val="autoZero"/>
        <c:auto val="1"/>
        <c:lblAlgn val="ctr"/>
        <c:lblOffset val="100"/>
        <c:noMultiLvlLbl val="0"/>
      </c:catAx>
      <c:valAx>
        <c:axId val="26457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2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'Grafik Pengmas'!$V$3</c:f>
              <c:strCache>
                <c:ptCount val="1"/>
                <c:pt idx="0">
                  <c:v>Total</c:v>
                </c:pt>
              </c:strCache>
            </c:strRef>
          </c:tx>
          <c:spPr>
            <a:solidFill>
              <a:schemeClr val="accent1"/>
            </a:solidFill>
            <a:ln>
              <a:noFill/>
            </a:ln>
            <a:effectLst/>
            <a:sp3d/>
          </c:spPr>
          <c:invertIfNegative val="0"/>
          <c:cat>
            <c:strRef>
              <c:f>'Grafik Pengmas'!$U$4:$U$8</c:f>
              <c:strCache>
                <c:ptCount val="4"/>
                <c:pt idx="0">
                  <c:v>KKN-PPM</c:v>
                </c:pt>
                <c:pt idx="1">
                  <c:v>PKM</c:v>
                </c:pt>
                <c:pt idx="2">
                  <c:v>PKMS</c:v>
                </c:pt>
                <c:pt idx="3">
                  <c:v>PPDM</c:v>
                </c:pt>
              </c:strCache>
            </c:strRef>
          </c:cat>
          <c:val>
            <c:numRef>
              <c:f>'Grafik Pengmas'!$V$4:$V$8</c:f>
              <c:numCache>
                <c:formatCode>General</c:formatCode>
                <c:ptCount val="4"/>
                <c:pt idx="0">
                  <c:v>1</c:v>
                </c:pt>
                <c:pt idx="1">
                  <c:v>4</c:v>
                </c:pt>
                <c:pt idx="2">
                  <c:v>2</c:v>
                </c:pt>
                <c:pt idx="3">
                  <c:v>2</c:v>
                </c:pt>
              </c:numCache>
            </c:numRef>
          </c:val>
          <c:extLst xmlns:c16r2="http://schemas.microsoft.com/office/drawing/2015/06/chart">
            <c:ext xmlns:c16="http://schemas.microsoft.com/office/drawing/2014/chart" uri="{C3380CC4-5D6E-409C-BE32-E72D297353CC}">
              <c16:uniqueId val="{00000000-0702-4563-B3FE-8EFEDD49BE0D}"/>
            </c:ext>
          </c:extLst>
        </c:ser>
        <c:dLbls>
          <c:showLegendKey val="0"/>
          <c:showVal val="0"/>
          <c:showCatName val="0"/>
          <c:showSerName val="0"/>
          <c:showPercent val="0"/>
          <c:showBubbleSize val="0"/>
        </c:dLbls>
        <c:gapWidth val="150"/>
        <c:shape val="box"/>
        <c:axId val="264574832"/>
        <c:axId val="264575392"/>
        <c:axId val="0"/>
      </c:bar3DChart>
      <c:catAx>
        <c:axId val="264574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5392"/>
        <c:crosses val="autoZero"/>
        <c:auto val="1"/>
        <c:lblAlgn val="ctr"/>
        <c:lblOffset val="100"/>
        <c:noMultiLvlLbl val="0"/>
      </c:catAx>
      <c:valAx>
        <c:axId val="264575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4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Pengmas'!$V$31</c:f>
              <c:strCache>
                <c:ptCount val="1"/>
                <c:pt idx="0">
                  <c:v>Total</c:v>
                </c:pt>
              </c:strCache>
            </c:strRef>
          </c:tx>
          <c:spPr>
            <a:solidFill>
              <a:schemeClr val="accent1"/>
            </a:solidFill>
            <a:ln>
              <a:noFill/>
            </a:ln>
            <a:effectLst/>
            <a:sp3d/>
          </c:spPr>
          <c:invertIfNegative val="0"/>
          <c:cat>
            <c:strRef>
              <c:f>'Grafik Pengmas'!$U$32:$U$36</c:f>
              <c:strCache>
                <c:ptCount val="4"/>
                <c:pt idx="0">
                  <c:v>2017</c:v>
                </c:pt>
                <c:pt idx="1">
                  <c:v>2018</c:v>
                </c:pt>
                <c:pt idx="2">
                  <c:v>2019</c:v>
                </c:pt>
                <c:pt idx="3">
                  <c:v>2020</c:v>
                </c:pt>
              </c:strCache>
            </c:strRef>
          </c:cat>
          <c:val>
            <c:numRef>
              <c:f>'Grafik Pengmas'!$V$32:$V$36</c:f>
              <c:numCache>
                <c:formatCode>General</c:formatCode>
                <c:ptCount val="4"/>
                <c:pt idx="0">
                  <c:v>205000000</c:v>
                </c:pt>
                <c:pt idx="1">
                  <c:v>120000000</c:v>
                </c:pt>
                <c:pt idx="2">
                  <c:v>183000000</c:v>
                </c:pt>
                <c:pt idx="3">
                  <c:v>60000000</c:v>
                </c:pt>
              </c:numCache>
            </c:numRef>
          </c:val>
          <c:extLst xmlns:c16r2="http://schemas.microsoft.com/office/drawing/2015/06/chart">
            <c:ext xmlns:c16="http://schemas.microsoft.com/office/drawing/2014/chart" uri="{C3380CC4-5D6E-409C-BE32-E72D297353CC}">
              <c16:uniqueId val="{00000000-64A1-4130-85C6-0D4033F5EB13}"/>
            </c:ext>
          </c:extLst>
        </c:ser>
        <c:dLbls>
          <c:showLegendKey val="0"/>
          <c:showVal val="0"/>
          <c:showCatName val="0"/>
          <c:showSerName val="0"/>
          <c:showPercent val="0"/>
          <c:showBubbleSize val="0"/>
        </c:dLbls>
        <c:gapWidth val="150"/>
        <c:shape val="box"/>
        <c:axId val="264577632"/>
        <c:axId val="264578192"/>
        <c:axId val="0"/>
      </c:bar3DChart>
      <c:catAx>
        <c:axId val="2645776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8192"/>
        <c:crosses val="autoZero"/>
        <c:auto val="1"/>
        <c:lblAlgn val="ctr"/>
        <c:lblOffset val="100"/>
        <c:noMultiLvlLbl val="0"/>
      </c:catAx>
      <c:valAx>
        <c:axId val="26457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7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Pengmas!PivotTable8</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'Grafik Pengmas'!$AB$3</c:f>
              <c:strCache>
                <c:ptCount val="1"/>
                <c:pt idx="0">
                  <c:v>Total</c:v>
                </c:pt>
              </c:strCache>
            </c:strRef>
          </c:tx>
          <c:spPr>
            <a:solidFill>
              <a:schemeClr val="accent1"/>
            </a:solidFill>
            <a:ln>
              <a:noFill/>
            </a:ln>
            <a:effectLst/>
            <a:sp3d/>
          </c:spPr>
          <c:invertIfNegative val="0"/>
          <c:cat>
            <c:strRef>
              <c:f>'Grafik Pengmas'!$AA$4:$AA$8</c:f>
              <c:strCache>
                <c:ptCount val="4"/>
                <c:pt idx="0">
                  <c:v>2017</c:v>
                </c:pt>
                <c:pt idx="1">
                  <c:v>2018</c:v>
                </c:pt>
                <c:pt idx="2">
                  <c:v>2019</c:v>
                </c:pt>
                <c:pt idx="3">
                  <c:v>2020</c:v>
                </c:pt>
              </c:strCache>
            </c:strRef>
          </c:cat>
          <c:val>
            <c:numRef>
              <c:f>'Grafik Pengmas'!$AB$4:$AB$8</c:f>
              <c:numCache>
                <c:formatCode>General</c:formatCode>
                <c:ptCount val="4"/>
                <c:pt idx="0">
                  <c:v>3</c:v>
                </c:pt>
                <c:pt idx="1">
                  <c:v>2</c:v>
                </c:pt>
                <c:pt idx="2">
                  <c:v>3</c:v>
                </c:pt>
                <c:pt idx="3">
                  <c:v>1</c:v>
                </c:pt>
              </c:numCache>
            </c:numRef>
          </c:val>
          <c:extLst xmlns:c16r2="http://schemas.microsoft.com/office/drawing/2015/06/chart">
            <c:ext xmlns:c16="http://schemas.microsoft.com/office/drawing/2014/chart" uri="{C3380CC4-5D6E-409C-BE32-E72D297353CC}">
              <c16:uniqueId val="{00000000-08FD-4FDE-A51A-1D7B98073F89}"/>
            </c:ext>
          </c:extLst>
        </c:ser>
        <c:dLbls>
          <c:showLegendKey val="0"/>
          <c:showVal val="0"/>
          <c:showCatName val="0"/>
          <c:showSerName val="0"/>
          <c:showPercent val="0"/>
          <c:showBubbleSize val="0"/>
        </c:dLbls>
        <c:gapWidth val="150"/>
        <c:shape val="box"/>
        <c:axId val="264875504"/>
        <c:axId val="264876064"/>
        <c:axId val="0"/>
      </c:bar3DChart>
      <c:catAx>
        <c:axId val="2648755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876064"/>
        <c:crosses val="autoZero"/>
        <c:auto val="1"/>
        <c:lblAlgn val="ctr"/>
        <c:lblOffset val="100"/>
        <c:noMultiLvlLbl val="0"/>
      </c:catAx>
      <c:valAx>
        <c:axId val="26487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87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Performa!PivotTable1</c:name>
    <c:fmtId val="5"/>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Performa'!$F$3:$F$4</c:f>
              <c:strCache>
                <c:ptCount val="1"/>
                <c:pt idx="0">
                  <c:v>Penelitian Dosen Pemula</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Performa'!$E$5:$E$9</c:f>
              <c:strCache>
                <c:ptCount val="4"/>
                <c:pt idx="0">
                  <c:v>2017</c:v>
                </c:pt>
                <c:pt idx="1">
                  <c:v>2018</c:v>
                </c:pt>
                <c:pt idx="2">
                  <c:v>2019</c:v>
                </c:pt>
                <c:pt idx="3">
                  <c:v>2020</c:v>
                </c:pt>
              </c:strCache>
            </c:strRef>
          </c:cat>
          <c:val>
            <c:numRef>
              <c:f>'Grafik Performa'!$F$5:$F$9</c:f>
              <c:numCache>
                <c:formatCode>General</c:formatCode>
                <c:ptCount val="4"/>
                <c:pt idx="0">
                  <c:v>1</c:v>
                </c:pt>
                <c:pt idx="2">
                  <c:v>2</c:v>
                </c:pt>
                <c:pt idx="3">
                  <c:v>2</c:v>
                </c:pt>
              </c:numCache>
            </c:numRef>
          </c:val>
          <c:smooth val="0"/>
        </c:ser>
        <c:ser>
          <c:idx val="1"/>
          <c:order val="1"/>
          <c:tx>
            <c:strRef>
              <c:f>'Grafik Performa'!$G$3:$G$4</c:f>
              <c:strCache>
                <c:ptCount val="1"/>
                <c:pt idx="0">
                  <c:v>Penelitian Tesis Magister</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Performa'!$E$5:$E$9</c:f>
              <c:strCache>
                <c:ptCount val="4"/>
                <c:pt idx="0">
                  <c:v>2017</c:v>
                </c:pt>
                <c:pt idx="1">
                  <c:v>2018</c:v>
                </c:pt>
                <c:pt idx="2">
                  <c:v>2019</c:v>
                </c:pt>
                <c:pt idx="3">
                  <c:v>2020</c:v>
                </c:pt>
              </c:strCache>
            </c:strRef>
          </c:cat>
          <c:val>
            <c:numRef>
              <c:f>'Grafik Performa'!$G$5:$G$9</c:f>
              <c:numCache>
                <c:formatCode>General</c:formatCode>
                <c:ptCount val="4"/>
                <c:pt idx="1">
                  <c:v>1</c:v>
                </c:pt>
              </c:numCache>
            </c:numRef>
          </c:val>
          <c:smooth val="0"/>
        </c:ser>
        <c:dLbls>
          <c:dLblPos val="t"/>
          <c:showLegendKey val="0"/>
          <c:showVal val="1"/>
          <c:showCatName val="0"/>
          <c:showSerName val="0"/>
          <c:showPercent val="0"/>
          <c:showBubbleSize val="0"/>
        </c:dLbls>
        <c:marker val="1"/>
        <c:smooth val="0"/>
        <c:axId val="264878864"/>
        <c:axId val="264879424"/>
      </c:lineChart>
      <c:catAx>
        <c:axId val="264878864"/>
        <c:scaling>
          <c:orientation val="minMax"/>
        </c:scaling>
        <c:delete val="1"/>
        <c:axPos val="b"/>
        <c:numFmt formatCode="General" sourceLinked="1"/>
        <c:majorTickMark val="none"/>
        <c:minorTickMark val="none"/>
        <c:tickLblPos val="nextTo"/>
        <c:crossAx val="264879424"/>
        <c:crosses val="autoZero"/>
        <c:auto val="1"/>
        <c:lblAlgn val="ctr"/>
        <c:lblOffset val="100"/>
        <c:noMultiLvlLbl val="0"/>
      </c:catAx>
      <c:valAx>
        <c:axId val="264879424"/>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64878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Performa!PivotTable2</c:name>
    <c:fmtId val="2"/>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Performa'!$F$26:$F$27</c:f>
              <c:strCache>
                <c:ptCount val="1"/>
                <c:pt idx="0">
                  <c:v>PKM</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Performa'!$E$28:$E$32</c:f>
              <c:strCache>
                <c:ptCount val="4"/>
                <c:pt idx="0">
                  <c:v>2017</c:v>
                </c:pt>
                <c:pt idx="1">
                  <c:v>2018</c:v>
                </c:pt>
                <c:pt idx="2">
                  <c:v>2019</c:v>
                </c:pt>
                <c:pt idx="3">
                  <c:v>2020</c:v>
                </c:pt>
              </c:strCache>
            </c:strRef>
          </c:cat>
          <c:val>
            <c:numRef>
              <c:f>'Grafik Performa'!$F$28:$F$32</c:f>
              <c:numCache>
                <c:formatCode>General</c:formatCode>
                <c:ptCount val="4"/>
                <c:pt idx="1">
                  <c:v>1</c:v>
                </c:pt>
                <c:pt idx="2">
                  <c:v>1</c:v>
                </c:pt>
                <c:pt idx="3">
                  <c:v>1</c:v>
                </c:pt>
              </c:numCache>
            </c:numRef>
          </c:val>
          <c:smooth val="0"/>
        </c:ser>
        <c:ser>
          <c:idx val="1"/>
          <c:order val="1"/>
          <c:tx>
            <c:strRef>
              <c:f>'Grafik Performa'!$G$26:$G$27</c:f>
              <c:strCache>
                <c:ptCount val="1"/>
                <c:pt idx="0">
                  <c:v>PPDM</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Performa'!$E$28:$E$32</c:f>
              <c:strCache>
                <c:ptCount val="4"/>
                <c:pt idx="0">
                  <c:v>2017</c:v>
                </c:pt>
                <c:pt idx="1">
                  <c:v>2018</c:v>
                </c:pt>
                <c:pt idx="2">
                  <c:v>2019</c:v>
                </c:pt>
                <c:pt idx="3">
                  <c:v>2020</c:v>
                </c:pt>
              </c:strCache>
            </c:strRef>
          </c:cat>
          <c:val>
            <c:numRef>
              <c:f>'Grafik Performa'!$G$28:$G$32</c:f>
              <c:numCache>
                <c:formatCode>General</c:formatCode>
                <c:ptCount val="4"/>
                <c:pt idx="0">
                  <c:v>1</c:v>
                </c:pt>
                <c:pt idx="3">
                  <c:v>1</c:v>
                </c:pt>
              </c:numCache>
            </c:numRef>
          </c:val>
          <c:smooth val="0"/>
        </c:ser>
        <c:ser>
          <c:idx val="2"/>
          <c:order val="2"/>
          <c:tx>
            <c:strRef>
              <c:f>'Grafik Performa'!$H$26:$H$27</c:f>
              <c:strCache>
                <c:ptCount val="1"/>
                <c:pt idx="0">
                  <c:v>PPUPIK</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'Grafik Performa'!$E$28:$E$32</c:f>
              <c:strCache>
                <c:ptCount val="4"/>
                <c:pt idx="0">
                  <c:v>2017</c:v>
                </c:pt>
                <c:pt idx="1">
                  <c:v>2018</c:v>
                </c:pt>
                <c:pt idx="2">
                  <c:v>2019</c:v>
                </c:pt>
                <c:pt idx="3">
                  <c:v>2020</c:v>
                </c:pt>
              </c:strCache>
            </c:strRef>
          </c:cat>
          <c:val>
            <c:numRef>
              <c:f>'Grafik Performa'!$H$28:$H$32</c:f>
              <c:numCache>
                <c:formatCode>General</c:formatCode>
                <c:ptCount val="4"/>
                <c:pt idx="0">
                  <c:v>1</c:v>
                </c:pt>
              </c:numCache>
            </c:numRef>
          </c:val>
          <c:smooth val="0"/>
        </c:ser>
        <c:dLbls>
          <c:dLblPos val="t"/>
          <c:showLegendKey val="0"/>
          <c:showVal val="1"/>
          <c:showCatName val="0"/>
          <c:showSerName val="0"/>
          <c:showPercent val="0"/>
          <c:showBubbleSize val="0"/>
        </c:dLbls>
        <c:marker val="1"/>
        <c:smooth val="0"/>
        <c:axId val="264882784"/>
        <c:axId val="264883344"/>
      </c:lineChart>
      <c:catAx>
        <c:axId val="264882784"/>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64883344"/>
        <c:crosses val="autoZero"/>
        <c:auto val="1"/>
        <c:lblAlgn val="ctr"/>
        <c:lblOffset val="100"/>
        <c:noMultiLvlLbl val="0"/>
      </c:catAx>
      <c:valAx>
        <c:axId val="264883344"/>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64882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Penelitian dan Pengabdian Masyarakat.xlsm]Grafik Performa!PivotTable3</c:name>
    <c:fmtId val="3"/>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s>
    <c:plotArea>
      <c:layout/>
      <c:lineChart>
        <c:grouping val="standard"/>
        <c:varyColors val="0"/>
        <c:ser>
          <c:idx val="0"/>
          <c:order val="0"/>
          <c:tx>
            <c:strRef>
              <c:f>'Grafik Performa'!$F$48:$F$49</c:f>
              <c:strCache>
                <c:ptCount val="1"/>
                <c:pt idx="0">
                  <c:v>Penelitian</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'Grafik Performa'!$E$50:$E$54</c:f>
              <c:strCache>
                <c:ptCount val="4"/>
                <c:pt idx="0">
                  <c:v>2017</c:v>
                </c:pt>
                <c:pt idx="1">
                  <c:v>2018</c:v>
                </c:pt>
                <c:pt idx="2">
                  <c:v>2019</c:v>
                </c:pt>
                <c:pt idx="3">
                  <c:v>2020</c:v>
                </c:pt>
              </c:strCache>
            </c:strRef>
          </c:cat>
          <c:val>
            <c:numRef>
              <c:f>'Grafik Performa'!$F$50:$F$54</c:f>
              <c:numCache>
                <c:formatCode>General</c:formatCode>
                <c:ptCount val="4"/>
                <c:pt idx="0">
                  <c:v>1</c:v>
                </c:pt>
                <c:pt idx="1">
                  <c:v>1</c:v>
                </c:pt>
                <c:pt idx="2">
                  <c:v>2</c:v>
                </c:pt>
                <c:pt idx="3">
                  <c:v>2</c:v>
                </c:pt>
              </c:numCache>
            </c:numRef>
          </c:val>
          <c:smooth val="0"/>
        </c:ser>
        <c:ser>
          <c:idx val="1"/>
          <c:order val="1"/>
          <c:tx>
            <c:strRef>
              <c:f>'Grafik Performa'!$G$48:$G$49</c:f>
              <c:strCache>
                <c:ptCount val="1"/>
                <c:pt idx="0">
                  <c:v>Pengabdian Masyarakat</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'Grafik Performa'!$E$50:$E$54</c:f>
              <c:strCache>
                <c:ptCount val="4"/>
                <c:pt idx="0">
                  <c:v>2017</c:v>
                </c:pt>
                <c:pt idx="1">
                  <c:v>2018</c:v>
                </c:pt>
                <c:pt idx="2">
                  <c:v>2019</c:v>
                </c:pt>
                <c:pt idx="3">
                  <c:v>2020</c:v>
                </c:pt>
              </c:strCache>
            </c:strRef>
          </c:cat>
          <c:val>
            <c:numRef>
              <c:f>'Grafik Performa'!$G$50:$G$54</c:f>
              <c:numCache>
                <c:formatCode>General</c:formatCode>
                <c:ptCount val="4"/>
                <c:pt idx="0">
                  <c:v>2</c:v>
                </c:pt>
                <c:pt idx="1">
                  <c:v>1</c:v>
                </c:pt>
                <c:pt idx="2">
                  <c:v>1</c:v>
                </c:pt>
                <c:pt idx="3">
                  <c:v>2</c:v>
                </c:pt>
              </c:numCache>
            </c:numRef>
          </c:val>
          <c:smooth val="0"/>
        </c:ser>
        <c:dLbls>
          <c:showLegendKey val="0"/>
          <c:showVal val="0"/>
          <c:showCatName val="0"/>
          <c:showSerName val="0"/>
          <c:showPercent val="0"/>
          <c:showBubbleSize val="0"/>
        </c:dLbls>
        <c:marker val="1"/>
        <c:smooth val="0"/>
        <c:axId val="264886144"/>
        <c:axId val="264886704"/>
      </c:lineChart>
      <c:catAx>
        <c:axId val="264886144"/>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64886704"/>
        <c:crosses val="autoZero"/>
        <c:auto val="1"/>
        <c:lblAlgn val="ctr"/>
        <c:lblOffset val="100"/>
        <c:noMultiLvlLbl val="0"/>
      </c:catAx>
      <c:valAx>
        <c:axId val="264886704"/>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264886144"/>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8.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22" fmlaLink="$C$11:$C$15" max="196" min="1" page="5"/>
</file>

<file path=xl/ctrlProps/ctrlProp2.xml><?xml version="1.0" encoding="utf-8"?>
<formControlPr xmlns="http://schemas.microsoft.com/office/spreadsheetml/2009/9/main" objectType="Scroll" dx="22" fmlaLink="$B$11:$B$15" max="96" min="1" page="5"/>
</file>

<file path=xl/ctrlProps/ctrlProp3.xml><?xml version="1.0" encoding="utf-8"?>
<formControlPr xmlns="http://schemas.microsoft.com/office/spreadsheetml/2009/9/main" objectType="Scroll" dx="22" fmlaLink="$B$11:$B$15" max="196" min="101" page="5" val="10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image" Target="../media/image5.pn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7.png"/><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image" Target="../media/image8.png"/><Relationship Id="rId5" Type="http://schemas.openxmlformats.org/officeDocument/2006/relationships/chart" Target="../charts/chart21.xml"/><Relationship Id="rId4"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image" Target="../media/image9.png"/><Relationship Id="rId5" Type="http://schemas.openxmlformats.org/officeDocument/2006/relationships/chart" Target="../charts/chart25.xml"/><Relationship Id="rId4" Type="http://schemas.openxmlformats.org/officeDocument/2006/relationships/chart" Target="../charts/chart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41.xml"/><Relationship Id="rId3" Type="http://schemas.openxmlformats.org/officeDocument/2006/relationships/chart" Target="../charts/chart36.xml"/><Relationship Id="rId7" Type="http://schemas.openxmlformats.org/officeDocument/2006/relationships/chart" Target="../charts/chart40.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5" Type="http://schemas.openxmlformats.org/officeDocument/2006/relationships/chart" Target="../charts/chart38.xml"/><Relationship Id="rId4" Type="http://schemas.openxmlformats.org/officeDocument/2006/relationships/chart" Target="../charts/chart3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s>
</file>

<file path=xl/drawings/drawing1.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485770</xdr:colOff>
      <xdr:row>5</xdr:row>
      <xdr:rowOff>85724</xdr:rowOff>
    </xdr:to>
    <xdr:pic macro="[0]!HomePage">
      <xdr:nvPicPr>
        <xdr:cNvPr id="9" name="Picture 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xdr:twoCellAnchor>
    <xdr:from>
      <xdr:col>9</xdr:col>
      <xdr:colOff>371474</xdr:colOff>
      <xdr:row>17</xdr:row>
      <xdr:rowOff>35865</xdr:rowOff>
    </xdr:from>
    <xdr:to>
      <xdr:col>20</xdr:col>
      <xdr:colOff>599721</xdr:colOff>
      <xdr:row>29</xdr:row>
      <xdr:rowOff>188148</xdr:rowOff>
    </xdr:to>
    <xdr:sp macro="" textlink="">
      <xdr:nvSpPr>
        <xdr:cNvPr id="10" name="TextBox 9"/>
        <xdr:cNvSpPr txBox="1"/>
      </xdr:nvSpPr>
      <xdr:spPr>
        <a:xfrm>
          <a:off x="5019674" y="3283890"/>
          <a:ext cx="6933847" cy="2438283"/>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a:solidFill>
                <a:schemeClr val="tx1"/>
              </a:solidFill>
              <a:effectLst/>
              <a:latin typeface="Microsoft Sans Serif" panose="020B0604020202020204" pitchFamily="34" charset="0"/>
              <a:ea typeface="+mn-ea"/>
              <a:cs typeface="Microsoft Sans Serif" panose="020B0604020202020204" pitchFamily="34" charset="0"/>
            </a:rPr>
            <a:t>Simlitabmas merupakan sistem informasi yang dikembangkan oleh Ditjen Penguatan Riset dan Pengembangan yang difungsikan untuk mendukung pelaksanaan penyiapan perumusan, koordinasi, dan sinkronisasi pelaksanaan kebijakan, pemantauan, evaluasi, dan pelaporan di bidang riset dan pengabdian masyarakat.</a:t>
          </a:r>
          <a:endParaRPr lang="en-US" sz="1400">
            <a:solidFill>
              <a:schemeClr val="tx1"/>
            </a:solidFill>
            <a:latin typeface="Microsoft Sans Serif" panose="020B0604020202020204" pitchFamily="34" charset="0"/>
            <a:cs typeface="Microsoft Sans Serif" panose="020B0604020202020204" pitchFamily="34" charset="0"/>
          </a:endParaRPr>
        </a:p>
      </xdr:txBody>
    </xdr:sp>
    <xdr:clientData/>
  </xdr:twoCellAnchor>
  <xdr:twoCellAnchor>
    <xdr:from>
      <xdr:col>2</xdr:col>
      <xdr:colOff>11759</xdr:colOff>
      <xdr:row>24</xdr:row>
      <xdr:rowOff>95249</xdr:rowOff>
    </xdr:from>
    <xdr:to>
      <xdr:col>9</xdr:col>
      <xdr:colOff>371474</xdr:colOff>
      <xdr:row>29</xdr:row>
      <xdr:rowOff>176388</xdr:rowOff>
    </xdr:to>
    <xdr:sp macro="" textlink="">
      <xdr:nvSpPr>
        <xdr:cNvPr id="11" name="Rectangle 10"/>
        <xdr:cNvSpPr/>
      </xdr:nvSpPr>
      <xdr:spPr>
        <a:xfrm>
          <a:off x="392759" y="4676774"/>
          <a:ext cx="4626915" cy="1033639"/>
        </a:xfrm>
        <a:prstGeom prst="rect">
          <a:avLst/>
        </a:prstGeom>
        <a:solidFill>
          <a:srgbClr val="CCCC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i="0">
            <a:solidFill>
              <a:schemeClr val="tx1">
                <a:lumMod val="65000"/>
                <a:lumOff val="35000"/>
              </a:schemeClr>
            </a:solidFill>
            <a:effectLst/>
            <a:latin typeface="Lucida Fax" panose="02060602050505020204" pitchFamily="18" charset="0"/>
            <a:ea typeface="+mn-ea"/>
            <a:cs typeface="Microsoft Sans Serif" panose="020B0604020202020204" pitchFamily="34" charset="0"/>
          </a:endParaRPr>
        </a:p>
        <a:p>
          <a:pPr algn="l"/>
          <a:r>
            <a:rPr lang="en-US" sz="1100" b="1" i="0">
              <a:solidFill>
                <a:schemeClr val="tx1">
                  <a:lumMod val="75000"/>
                  <a:lumOff val="25000"/>
                </a:schemeClr>
              </a:solidFill>
              <a:effectLst/>
              <a:latin typeface="Lucida Fax" panose="02060602050505020204" pitchFamily="18" charset="0"/>
              <a:ea typeface="+mn-ea"/>
              <a:cs typeface="Microsoft Sans Serif" panose="020B0604020202020204" pitchFamily="34" charset="0"/>
            </a:rPr>
            <a:t>Ditjen Penguatan Riset dan Pengembangan</a:t>
          </a:r>
          <a:r>
            <a:rPr lang="en-US">
              <a:solidFill>
                <a:schemeClr val="tx1">
                  <a:lumMod val="75000"/>
                  <a:lumOff val="25000"/>
                </a:schemeClr>
              </a:solidFill>
              <a:latin typeface="Lucida Fax" panose="02060602050505020204" pitchFamily="18" charset="0"/>
              <a:cs typeface="Microsoft Sans Serif" panose="020B0604020202020204" pitchFamily="34" charset="0"/>
            </a:rPr>
            <a:t/>
          </a:r>
          <a:br>
            <a:rPr lang="en-US">
              <a:solidFill>
                <a:schemeClr val="tx1">
                  <a:lumMod val="75000"/>
                  <a:lumOff val="25000"/>
                </a:schemeClr>
              </a:solidFill>
              <a:latin typeface="Lucida Fax" panose="02060602050505020204" pitchFamily="18" charset="0"/>
              <a:cs typeface="Microsoft Sans Serif" panose="020B0604020202020204" pitchFamily="34" charset="0"/>
            </a:rPr>
          </a:br>
          <a:r>
            <a:rPr lang="en-US" sz="1100" b="1" i="0">
              <a:solidFill>
                <a:schemeClr val="tx1">
                  <a:lumMod val="75000"/>
                  <a:lumOff val="25000"/>
                </a:schemeClr>
              </a:solidFill>
              <a:effectLst/>
              <a:latin typeface="Lucida Fax" panose="02060602050505020204" pitchFamily="18" charset="0"/>
              <a:ea typeface="+mn-ea"/>
              <a:cs typeface="Microsoft Sans Serif" panose="020B0604020202020204" pitchFamily="34" charset="0"/>
            </a:rPr>
            <a:t>Kementerian Riset, Teknologi dan Pendidikan Tinggi</a:t>
          </a:r>
          <a:endParaRPr lang="en-US" sz="1100">
            <a:solidFill>
              <a:schemeClr val="tx1">
                <a:lumMod val="75000"/>
                <a:lumOff val="25000"/>
              </a:schemeClr>
            </a:solidFill>
            <a:latin typeface="Lucida Fax" panose="02060602050505020204" pitchFamily="18" charset="0"/>
            <a:cs typeface="Microsoft Sans Serif" panose="020B0604020202020204" pitchFamily="34" charset="0"/>
          </a:endParaRPr>
        </a:p>
      </xdr:txBody>
    </xdr:sp>
    <xdr:clientData/>
  </xdr:twoCellAnchor>
  <xdr:twoCellAnchor>
    <xdr:from>
      <xdr:col>13</xdr:col>
      <xdr:colOff>0</xdr:colOff>
      <xdr:row>1</xdr:row>
      <xdr:rowOff>0</xdr:rowOff>
    </xdr:from>
    <xdr:to>
      <xdr:col>15</xdr:col>
      <xdr:colOff>0</xdr:colOff>
      <xdr:row>6</xdr:row>
      <xdr:rowOff>1</xdr:rowOff>
    </xdr:to>
    <xdr:sp macro="[0]!PENELITIAN" textlink="">
      <xdr:nvSpPr>
        <xdr:cNvPr id="16" name="Rectangle 15"/>
        <xdr:cNvSpPr/>
      </xdr:nvSpPr>
      <xdr:spPr>
        <a:xfrm>
          <a:off x="7151077" y="205154"/>
          <a:ext cx="1230923"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performa" textlink="">
      <xdr:nvSpPr>
        <xdr:cNvPr id="17" name="Rectangle 16"/>
        <xdr:cNvSpPr/>
      </xdr:nvSpPr>
      <xdr:spPr>
        <a:xfrm>
          <a:off x="58674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xdr:row>
      <xdr:rowOff>0</xdr:rowOff>
    </xdr:from>
    <xdr:to>
      <xdr:col>11</xdr:col>
      <xdr:colOff>0</xdr:colOff>
      <xdr:row>6</xdr:row>
      <xdr:rowOff>1</xdr:rowOff>
    </xdr:to>
    <xdr:sp macro="[0]!homepenc" textlink="">
      <xdr:nvSpPr>
        <xdr:cNvPr id="18" name="Rectangle 17"/>
        <xdr:cNvSpPr/>
      </xdr:nvSpPr>
      <xdr:spPr>
        <a:xfrm>
          <a:off x="4648200" y="200025"/>
          <a:ext cx="1219200" cy="952501"/>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20</xdr:col>
      <xdr:colOff>606552</xdr:colOff>
      <xdr:row>6</xdr:row>
      <xdr:rowOff>1</xdr:rowOff>
    </xdr:to>
    <xdr:sp macro="[0]!InfPeng" textlink="">
      <xdr:nvSpPr>
        <xdr:cNvPr id="19" name="Rectangle 18"/>
        <xdr:cNvSpPr/>
      </xdr:nvSpPr>
      <xdr:spPr>
        <a:xfrm>
          <a:off x="10744200" y="200025"/>
          <a:ext cx="1216152"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InfPen" textlink="">
      <xdr:nvSpPr>
        <xdr:cNvPr id="20" name="Rectangle 19"/>
        <xdr:cNvSpPr/>
      </xdr:nvSpPr>
      <xdr:spPr>
        <a:xfrm>
          <a:off x="95250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17</xdr:col>
      <xdr:colOff>0</xdr:colOff>
      <xdr:row>6</xdr:row>
      <xdr:rowOff>1</xdr:rowOff>
    </xdr:to>
    <xdr:sp macro="[0]!PengMas" textlink="">
      <xdr:nvSpPr>
        <xdr:cNvPr id="21" name="Rectangle 20"/>
        <xdr:cNvSpPr/>
      </xdr:nvSpPr>
      <xdr:spPr>
        <a:xfrm>
          <a:off x="83058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180975</xdr:colOff>
      <xdr:row>1</xdr:row>
      <xdr:rowOff>85725</xdr:rowOff>
    </xdr:from>
    <xdr:to>
      <xdr:col>10</xdr:col>
      <xdr:colOff>482059</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22</xdr:col>
          <xdr:colOff>9525</xdr:colOff>
          <xdr:row>9</xdr:row>
          <xdr:rowOff>0</xdr:rowOff>
        </xdr:from>
        <xdr:to>
          <xdr:col>22</xdr:col>
          <xdr:colOff>333375</xdr:colOff>
          <xdr:row>14</xdr:row>
          <xdr:rowOff>609600</xdr:rowOff>
        </xdr:to>
        <xdr:sp macro="" textlink="">
          <xdr:nvSpPr>
            <xdr:cNvPr id="11271" name="Scroll Bar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15</xdr:col>
      <xdr:colOff>0</xdr:colOff>
      <xdr:row>1</xdr:row>
      <xdr:rowOff>0</xdr:rowOff>
    </xdr:from>
    <xdr:to>
      <xdr:col>17</xdr:col>
      <xdr:colOff>0</xdr:colOff>
      <xdr:row>6</xdr:row>
      <xdr:rowOff>1</xdr:rowOff>
    </xdr:to>
    <xdr:sp macro="[0]!PENELITIAN" textlink="">
      <xdr:nvSpPr>
        <xdr:cNvPr id="10" name="Rectangle 9"/>
        <xdr:cNvSpPr/>
      </xdr:nvSpPr>
      <xdr:spPr>
        <a:xfrm>
          <a:off x="70866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xdr:row>
      <xdr:rowOff>0</xdr:rowOff>
    </xdr:from>
    <xdr:to>
      <xdr:col>15</xdr:col>
      <xdr:colOff>0</xdr:colOff>
      <xdr:row>6</xdr:row>
      <xdr:rowOff>1</xdr:rowOff>
    </xdr:to>
    <xdr:sp macro="[0]!performa" textlink="">
      <xdr:nvSpPr>
        <xdr:cNvPr id="11" name="Rectangle 10"/>
        <xdr:cNvSpPr/>
      </xdr:nvSpPr>
      <xdr:spPr>
        <a:xfrm>
          <a:off x="58674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homepenc" textlink="">
      <xdr:nvSpPr>
        <xdr:cNvPr id="12" name="Rectangle 11"/>
        <xdr:cNvSpPr/>
      </xdr:nvSpPr>
      <xdr:spPr>
        <a:xfrm>
          <a:off x="46482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1</xdr:row>
      <xdr:rowOff>0</xdr:rowOff>
    </xdr:from>
    <xdr:to>
      <xdr:col>23</xdr:col>
      <xdr:colOff>0</xdr:colOff>
      <xdr:row>6</xdr:row>
      <xdr:rowOff>1</xdr:rowOff>
    </xdr:to>
    <xdr:sp macro="[0]!InfPeng" textlink="">
      <xdr:nvSpPr>
        <xdr:cNvPr id="13" name="Rectangle 12"/>
        <xdr:cNvSpPr/>
      </xdr:nvSpPr>
      <xdr:spPr>
        <a:xfrm>
          <a:off x="10744200" y="200025"/>
          <a:ext cx="12573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21</xdr:col>
      <xdr:colOff>0</xdr:colOff>
      <xdr:row>6</xdr:row>
      <xdr:rowOff>1</xdr:rowOff>
    </xdr:to>
    <xdr:sp macro="[0]!InfPen" textlink="">
      <xdr:nvSpPr>
        <xdr:cNvPr id="14" name="Rectangle 13"/>
        <xdr:cNvSpPr/>
      </xdr:nvSpPr>
      <xdr:spPr>
        <a:xfrm>
          <a:off x="95250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PengMas" textlink="">
      <xdr:nvSpPr>
        <xdr:cNvPr id="15" name="Rectangle 14"/>
        <xdr:cNvSpPr/>
      </xdr:nvSpPr>
      <xdr:spPr>
        <a:xfrm>
          <a:off x="83058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485770</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xdr:twoCellAnchor>
    <xdr:from>
      <xdr:col>13</xdr:col>
      <xdr:colOff>0</xdr:colOff>
      <xdr:row>1</xdr:row>
      <xdr:rowOff>0</xdr:rowOff>
    </xdr:from>
    <xdr:to>
      <xdr:col>15</xdr:col>
      <xdr:colOff>0</xdr:colOff>
      <xdr:row>6</xdr:row>
      <xdr:rowOff>1</xdr:rowOff>
    </xdr:to>
    <xdr:sp macro="[0]!PENELITIAN" textlink="">
      <xdr:nvSpPr>
        <xdr:cNvPr id="3" name="Rectangle 2"/>
        <xdr:cNvSpPr/>
      </xdr:nvSpPr>
      <xdr:spPr>
        <a:xfrm>
          <a:off x="70866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performa" textlink="">
      <xdr:nvSpPr>
        <xdr:cNvPr id="4" name="Rectangle 3"/>
        <xdr:cNvSpPr/>
      </xdr:nvSpPr>
      <xdr:spPr>
        <a:xfrm>
          <a:off x="58674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xdr:row>
      <xdr:rowOff>0</xdr:rowOff>
    </xdr:from>
    <xdr:to>
      <xdr:col>11</xdr:col>
      <xdr:colOff>0</xdr:colOff>
      <xdr:row>6</xdr:row>
      <xdr:rowOff>1</xdr:rowOff>
    </xdr:to>
    <xdr:sp macro="[0]!homepenc" textlink="">
      <xdr:nvSpPr>
        <xdr:cNvPr id="5" name="Rectangle 4"/>
        <xdr:cNvSpPr/>
      </xdr:nvSpPr>
      <xdr:spPr>
        <a:xfrm>
          <a:off x="46482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20</xdr:col>
      <xdr:colOff>606552</xdr:colOff>
      <xdr:row>6</xdr:row>
      <xdr:rowOff>1</xdr:rowOff>
    </xdr:to>
    <xdr:sp macro="[0]!InfPeng" textlink="">
      <xdr:nvSpPr>
        <xdr:cNvPr id="6" name="Rectangle 5"/>
        <xdr:cNvSpPr/>
      </xdr:nvSpPr>
      <xdr:spPr>
        <a:xfrm>
          <a:off x="10744200" y="200025"/>
          <a:ext cx="1216152"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InfPen" textlink="">
      <xdr:nvSpPr>
        <xdr:cNvPr id="7" name="Rectangle 6"/>
        <xdr:cNvSpPr/>
      </xdr:nvSpPr>
      <xdr:spPr>
        <a:xfrm>
          <a:off x="95250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17</xdr:col>
      <xdr:colOff>0</xdr:colOff>
      <xdr:row>6</xdr:row>
      <xdr:rowOff>1</xdr:rowOff>
    </xdr:to>
    <xdr:sp macro="[0]!PengMas" textlink="">
      <xdr:nvSpPr>
        <xdr:cNvPr id="8" name="Rectangle 7"/>
        <xdr:cNvSpPr/>
      </xdr:nvSpPr>
      <xdr:spPr>
        <a:xfrm>
          <a:off x="83058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583164</xdr:colOff>
      <xdr:row>31</xdr:row>
      <xdr:rowOff>0</xdr:rowOff>
    </xdr:from>
    <xdr:to>
      <xdr:col>17</xdr:col>
      <xdr:colOff>329586</xdr:colOff>
      <xdr:row>31</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12246</xdr:colOff>
      <xdr:row>8</xdr:row>
      <xdr:rowOff>112745</xdr:rowOff>
    </xdr:from>
    <xdr:to>
      <xdr:col>20</xdr:col>
      <xdr:colOff>600075</xdr:colOff>
      <xdr:row>30</xdr:row>
      <xdr:rowOff>9525</xdr:rowOff>
    </xdr:to>
    <xdr:grpSp>
      <xdr:nvGrpSpPr>
        <xdr:cNvPr id="9" name="Group 8"/>
        <xdr:cNvGrpSpPr/>
      </xdr:nvGrpSpPr>
      <xdr:grpSpPr>
        <a:xfrm>
          <a:off x="393246" y="1646270"/>
          <a:ext cx="11560629" cy="4097305"/>
          <a:chOff x="393246" y="1646270"/>
          <a:chExt cx="11560629" cy="4097305"/>
        </a:xfrm>
      </xdr:grpSpPr>
      <xdr:graphicFrame macro="">
        <xdr:nvGraphicFramePr>
          <xdr:cNvPr id="12" name="Chart 11"/>
          <xdr:cNvGraphicFramePr>
            <a:graphicFrameLocks/>
          </xdr:cNvGraphicFramePr>
        </xdr:nvGraphicFramePr>
        <xdr:xfrm>
          <a:off x="6853529" y="3687342"/>
          <a:ext cx="4616224" cy="204825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3" name="Chart 12"/>
          <xdr:cNvGraphicFramePr>
            <a:graphicFrameLocks/>
          </xdr:cNvGraphicFramePr>
        </xdr:nvGraphicFramePr>
        <xdr:xfrm>
          <a:off x="6859652" y="1646270"/>
          <a:ext cx="4608448" cy="20482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6" name="Chart 15"/>
          <xdr:cNvGraphicFramePr>
            <a:graphicFrameLocks/>
          </xdr:cNvGraphicFramePr>
        </xdr:nvGraphicFramePr>
        <xdr:xfrm>
          <a:off x="2239930" y="1650545"/>
          <a:ext cx="4616224" cy="4093029"/>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graphicFrame macro="">
            <xdr:nvGraphicFramePr>
              <xdr:cNvPr id="17" name="NAMA"/>
              <xdr:cNvGraphicFramePr/>
            </xdr:nvGraphicFramePr>
            <xdr:xfrm>
              <a:off x="393246" y="1647825"/>
              <a:ext cx="1849794" cy="4076699"/>
            </xdr:xfrm>
            <a:graphic>
              <a:graphicData uri="http://schemas.microsoft.com/office/drawing/2010/slicer">
                <sle:slicer xmlns:sle="http://schemas.microsoft.com/office/drawing/2010/slicer" name="NAMA"/>
              </a:graphicData>
            </a:graphic>
          </xdr:graphicFrame>
        </mc:Choice>
        <mc:Fallback xmlns="">
          <xdr:sp macro="" textlink="">
            <xdr:nvSpPr>
              <xdr:cNvPr id="0" name=""/>
              <xdr:cNvSpPr>
                <a:spLocks noTextEdit="1"/>
              </xdr:cNvSpPr>
            </xdr:nvSpPr>
            <xdr:spPr>
              <a:xfrm>
                <a:off x="393246" y="1647825"/>
                <a:ext cx="1849794" cy="4076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Rectangle 17"/>
          <xdr:cNvSpPr/>
        </xdr:nvSpPr>
        <xdr:spPr>
          <a:xfrm>
            <a:off x="11449050" y="1647825"/>
            <a:ext cx="504825" cy="409575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485770</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20</xdr:col>
          <xdr:colOff>9525</xdr:colOff>
          <xdr:row>8</xdr:row>
          <xdr:rowOff>180975</xdr:rowOff>
        </xdr:from>
        <xdr:to>
          <xdr:col>20</xdr:col>
          <xdr:colOff>333375</xdr:colOff>
          <xdr:row>15</xdr:row>
          <xdr:rowOff>9525</xdr:rowOff>
        </xdr:to>
        <xdr:sp macro="" textlink="">
          <xdr:nvSpPr>
            <xdr:cNvPr id="13314" name="Scroll Bar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13</xdr:col>
      <xdr:colOff>0</xdr:colOff>
      <xdr:row>1</xdr:row>
      <xdr:rowOff>0</xdr:rowOff>
    </xdr:from>
    <xdr:to>
      <xdr:col>15</xdr:col>
      <xdr:colOff>0</xdr:colOff>
      <xdr:row>6</xdr:row>
      <xdr:rowOff>1</xdr:rowOff>
    </xdr:to>
    <xdr:sp macro="[0]!PENELITIAN" textlink="">
      <xdr:nvSpPr>
        <xdr:cNvPr id="23" name="Rectangle 22"/>
        <xdr:cNvSpPr/>
      </xdr:nvSpPr>
      <xdr:spPr>
        <a:xfrm>
          <a:off x="70866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performa" textlink="">
      <xdr:nvSpPr>
        <xdr:cNvPr id="24" name="Rectangle 23"/>
        <xdr:cNvSpPr/>
      </xdr:nvSpPr>
      <xdr:spPr>
        <a:xfrm>
          <a:off x="58674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xdr:row>
      <xdr:rowOff>0</xdr:rowOff>
    </xdr:from>
    <xdr:to>
      <xdr:col>11</xdr:col>
      <xdr:colOff>0</xdr:colOff>
      <xdr:row>6</xdr:row>
      <xdr:rowOff>1</xdr:rowOff>
    </xdr:to>
    <xdr:sp macro="[0]!homepenc" textlink="">
      <xdr:nvSpPr>
        <xdr:cNvPr id="25" name="Rectangle 24"/>
        <xdr:cNvSpPr/>
      </xdr:nvSpPr>
      <xdr:spPr>
        <a:xfrm>
          <a:off x="46482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20</xdr:col>
      <xdr:colOff>606552</xdr:colOff>
      <xdr:row>6</xdr:row>
      <xdr:rowOff>1</xdr:rowOff>
    </xdr:to>
    <xdr:sp macro="[0]!InfPeng" textlink="">
      <xdr:nvSpPr>
        <xdr:cNvPr id="26" name="Rectangle 25"/>
        <xdr:cNvSpPr/>
      </xdr:nvSpPr>
      <xdr:spPr>
        <a:xfrm>
          <a:off x="10744200" y="200025"/>
          <a:ext cx="1216152"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InfPen" textlink="">
      <xdr:nvSpPr>
        <xdr:cNvPr id="27" name="Rectangle 26"/>
        <xdr:cNvSpPr/>
      </xdr:nvSpPr>
      <xdr:spPr>
        <a:xfrm>
          <a:off x="95250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17</xdr:col>
      <xdr:colOff>0</xdr:colOff>
      <xdr:row>6</xdr:row>
      <xdr:rowOff>1</xdr:rowOff>
    </xdr:to>
    <xdr:sp macro="[0]!PengMas" textlink="">
      <xdr:nvSpPr>
        <xdr:cNvPr id="28" name="Rectangle 27"/>
        <xdr:cNvSpPr/>
      </xdr:nvSpPr>
      <xdr:spPr>
        <a:xfrm>
          <a:off x="83058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600075</xdr:colOff>
      <xdr:row>7</xdr:row>
      <xdr:rowOff>0</xdr:rowOff>
    </xdr:from>
    <xdr:to>
      <xdr:col>19</xdr:col>
      <xdr:colOff>600075</xdr:colOff>
      <xdr:row>8</xdr:row>
      <xdr:rowOff>0</xdr:rowOff>
    </xdr:to>
    <xdr:sp macro="[0]!Module3.Data" textlink="">
      <xdr:nvSpPr>
        <xdr:cNvPr id="3" name="Rectangle 2"/>
        <xdr:cNvSpPr/>
      </xdr:nvSpPr>
      <xdr:spPr>
        <a:xfrm>
          <a:off x="10125075" y="1352550"/>
          <a:ext cx="1219200" cy="2000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485770</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19</xdr:col>
          <xdr:colOff>9525</xdr:colOff>
          <xdr:row>8</xdr:row>
          <xdr:rowOff>190500</xdr:rowOff>
        </xdr:from>
        <xdr:to>
          <xdr:col>19</xdr:col>
          <xdr:colOff>333375</xdr:colOff>
          <xdr:row>15</xdr:row>
          <xdr:rowOff>9525</xdr:rowOff>
        </xdr:to>
        <xdr:sp macro="" textlink="">
          <xdr:nvSpPr>
            <xdr:cNvPr id="14337" name="Scroll Bar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13</xdr:col>
      <xdr:colOff>0</xdr:colOff>
      <xdr:row>1</xdr:row>
      <xdr:rowOff>0</xdr:rowOff>
    </xdr:from>
    <xdr:to>
      <xdr:col>15</xdr:col>
      <xdr:colOff>0</xdr:colOff>
      <xdr:row>6</xdr:row>
      <xdr:rowOff>1</xdr:rowOff>
    </xdr:to>
    <xdr:sp macro="[0]!PENELITIAN" textlink="">
      <xdr:nvSpPr>
        <xdr:cNvPr id="4" name="Rectangle 3"/>
        <xdr:cNvSpPr/>
      </xdr:nvSpPr>
      <xdr:spPr>
        <a:xfrm>
          <a:off x="70866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performa" textlink="">
      <xdr:nvSpPr>
        <xdr:cNvPr id="5" name="Rectangle 4"/>
        <xdr:cNvSpPr/>
      </xdr:nvSpPr>
      <xdr:spPr>
        <a:xfrm>
          <a:off x="58674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xdr:row>
      <xdr:rowOff>0</xdr:rowOff>
    </xdr:from>
    <xdr:to>
      <xdr:col>11</xdr:col>
      <xdr:colOff>0</xdr:colOff>
      <xdr:row>6</xdr:row>
      <xdr:rowOff>1</xdr:rowOff>
    </xdr:to>
    <xdr:sp macro="[0]!homepenc" textlink="">
      <xdr:nvSpPr>
        <xdr:cNvPr id="6" name="Rectangle 5"/>
        <xdr:cNvSpPr/>
      </xdr:nvSpPr>
      <xdr:spPr>
        <a:xfrm>
          <a:off x="46482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20</xdr:col>
      <xdr:colOff>606552</xdr:colOff>
      <xdr:row>6</xdr:row>
      <xdr:rowOff>1</xdr:rowOff>
    </xdr:to>
    <xdr:sp macro="[0]!InfPeng" textlink="">
      <xdr:nvSpPr>
        <xdr:cNvPr id="7" name="Rectangle 6"/>
        <xdr:cNvSpPr/>
      </xdr:nvSpPr>
      <xdr:spPr>
        <a:xfrm>
          <a:off x="10744200" y="200025"/>
          <a:ext cx="1216152"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InfPen" textlink="">
      <xdr:nvSpPr>
        <xdr:cNvPr id="8" name="Rectangle 7"/>
        <xdr:cNvSpPr/>
      </xdr:nvSpPr>
      <xdr:spPr>
        <a:xfrm>
          <a:off x="95250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17</xdr:col>
      <xdr:colOff>0</xdr:colOff>
      <xdr:row>6</xdr:row>
      <xdr:rowOff>1</xdr:rowOff>
    </xdr:to>
    <xdr:sp macro="[0]!PengMas" textlink="">
      <xdr:nvSpPr>
        <xdr:cNvPr id="9" name="Rectangle 8"/>
        <xdr:cNvSpPr/>
      </xdr:nvSpPr>
      <xdr:spPr>
        <a:xfrm>
          <a:off x="830580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7</xdr:row>
      <xdr:rowOff>0</xdr:rowOff>
    </xdr:from>
    <xdr:to>
      <xdr:col>19</xdr:col>
      <xdr:colOff>0</xdr:colOff>
      <xdr:row>8</xdr:row>
      <xdr:rowOff>0</xdr:rowOff>
    </xdr:to>
    <xdr:sp macro="[0]!Module3.Data" textlink="">
      <xdr:nvSpPr>
        <xdr:cNvPr id="10" name="Rectangle 9"/>
        <xdr:cNvSpPr/>
      </xdr:nvSpPr>
      <xdr:spPr>
        <a:xfrm>
          <a:off x="9525000" y="1352550"/>
          <a:ext cx="1219200" cy="2000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476245</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xdr:twoCellAnchor>
    <xdr:from>
      <xdr:col>6</xdr:col>
      <xdr:colOff>552450</xdr:colOff>
      <xdr:row>1048576</xdr:row>
      <xdr:rowOff>2709862</xdr:rowOff>
    </xdr:from>
    <xdr:to>
      <xdr:col>11</xdr:col>
      <xdr:colOff>38100</xdr:colOff>
      <xdr:row>1048576</xdr:row>
      <xdr:rowOff>5453062</xdr:rowOff>
    </xdr:to>
    <xdr:graphicFrame macro="">
      <xdr:nvGraphicFramePr>
        <xdr:cNvPr id="7"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614362</xdr:colOff>
      <xdr:row>1048576</xdr:row>
      <xdr:rowOff>1681162</xdr:rowOff>
    </xdr:from>
    <xdr:to>
      <xdr:col>13</xdr:col>
      <xdr:colOff>233362</xdr:colOff>
      <xdr:row>1048576</xdr:row>
      <xdr:rowOff>4424362</xdr:rowOff>
    </xdr:to>
    <xdr:graphicFrame macro="">
      <xdr:nvGraphicFramePr>
        <xdr:cNvPr id="8"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xdr:row>
      <xdr:rowOff>0</xdr:rowOff>
    </xdr:from>
    <xdr:to>
      <xdr:col>15</xdr:col>
      <xdr:colOff>0</xdr:colOff>
      <xdr:row>6</xdr:row>
      <xdr:rowOff>1</xdr:rowOff>
    </xdr:to>
    <xdr:sp macro="[0]!PENELITIAN" textlink="">
      <xdr:nvSpPr>
        <xdr:cNvPr id="10" name="Rectangle 9"/>
        <xdr:cNvSpPr/>
      </xdr:nvSpPr>
      <xdr:spPr>
        <a:xfrm>
          <a:off x="7096125"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performa" textlink="">
      <xdr:nvSpPr>
        <xdr:cNvPr id="11" name="Rectangle 10"/>
        <xdr:cNvSpPr/>
      </xdr:nvSpPr>
      <xdr:spPr>
        <a:xfrm>
          <a:off x="5876925"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xdr:row>
      <xdr:rowOff>0</xdr:rowOff>
    </xdr:from>
    <xdr:to>
      <xdr:col>11</xdr:col>
      <xdr:colOff>0</xdr:colOff>
      <xdr:row>6</xdr:row>
      <xdr:rowOff>1</xdr:rowOff>
    </xdr:to>
    <xdr:sp macro="[0]!homepenc" textlink="">
      <xdr:nvSpPr>
        <xdr:cNvPr id="12" name="Rectangle 11"/>
        <xdr:cNvSpPr/>
      </xdr:nvSpPr>
      <xdr:spPr>
        <a:xfrm>
          <a:off x="4657725"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20</xdr:col>
      <xdr:colOff>606552</xdr:colOff>
      <xdr:row>6</xdr:row>
      <xdr:rowOff>1</xdr:rowOff>
    </xdr:to>
    <xdr:sp macro="[0]!InfPeng" textlink="">
      <xdr:nvSpPr>
        <xdr:cNvPr id="13" name="Rectangle 12"/>
        <xdr:cNvSpPr/>
      </xdr:nvSpPr>
      <xdr:spPr>
        <a:xfrm>
          <a:off x="10753725" y="200025"/>
          <a:ext cx="1216152"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InfPen" textlink="">
      <xdr:nvSpPr>
        <xdr:cNvPr id="14" name="Rectangle 13"/>
        <xdr:cNvSpPr/>
      </xdr:nvSpPr>
      <xdr:spPr>
        <a:xfrm>
          <a:off x="9534525"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17</xdr:col>
      <xdr:colOff>0</xdr:colOff>
      <xdr:row>6</xdr:row>
      <xdr:rowOff>1</xdr:rowOff>
    </xdr:to>
    <xdr:sp macro="[0]!PengMas" textlink="">
      <xdr:nvSpPr>
        <xdr:cNvPr id="15" name="Rectangle 14"/>
        <xdr:cNvSpPr/>
      </xdr:nvSpPr>
      <xdr:spPr>
        <a:xfrm>
          <a:off x="8315325"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566737</xdr:colOff>
      <xdr:row>1048576</xdr:row>
      <xdr:rowOff>2709862</xdr:rowOff>
    </xdr:from>
    <xdr:to>
      <xdr:col>16</xdr:col>
      <xdr:colOff>604837</xdr:colOff>
      <xdr:row>1048576</xdr:row>
      <xdr:rowOff>5453062</xdr:rowOff>
    </xdr:to>
    <xdr:graphicFrame macro="">
      <xdr:nvGraphicFramePr>
        <xdr:cNvPr id="3"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5443</xdr:colOff>
      <xdr:row>7</xdr:row>
      <xdr:rowOff>0</xdr:rowOff>
    </xdr:from>
    <xdr:to>
      <xdr:col>8</xdr:col>
      <xdr:colOff>0</xdr:colOff>
      <xdr:row>8</xdr:row>
      <xdr:rowOff>5443</xdr:rowOff>
    </xdr:to>
    <xdr:sp macro="[0]!infpenins" textlink="">
      <xdr:nvSpPr>
        <xdr:cNvPr id="19" name="Rectangle 18"/>
        <xdr:cNvSpPr/>
      </xdr:nvSpPr>
      <xdr:spPr>
        <a:xfrm>
          <a:off x="2149929" y="1344386"/>
          <a:ext cx="1899557" cy="19594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541734</xdr:colOff>
      <xdr:row>7</xdr:row>
      <xdr:rowOff>0</xdr:rowOff>
    </xdr:from>
    <xdr:to>
      <xdr:col>5</xdr:col>
      <xdr:colOff>5443</xdr:colOff>
      <xdr:row>8</xdr:row>
      <xdr:rowOff>5953</xdr:rowOff>
    </xdr:to>
    <xdr:sp macro="[0]!InfPen" textlink="">
      <xdr:nvSpPr>
        <xdr:cNvPr id="20" name="Rectangle 19"/>
        <xdr:cNvSpPr/>
      </xdr:nvSpPr>
      <xdr:spPr>
        <a:xfrm>
          <a:off x="922734" y="1342430"/>
          <a:ext cx="1225834" cy="19645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200025</xdr:colOff>
      <xdr:row>8</xdr:row>
      <xdr:rowOff>38099</xdr:rowOff>
    </xdr:from>
    <xdr:to>
      <xdr:col>20</xdr:col>
      <xdr:colOff>590550</xdr:colOff>
      <xdr:row>29</xdr:row>
      <xdr:rowOff>180974</xdr:rowOff>
    </xdr:to>
    <xdr:sp macro="" textlink="">
      <xdr:nvSpPr>
        <xdr:cNvPr id="21" name="Rectangle 20"/>
        <xdr:cNvSpPr/>
      </xdr:nvSpPr>
      <xdr:spPr>
        <a:xfrm>
          <a:off x="6076950" y="1571624"/>
          <a:ext cx="5876925" cy="414337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370788</xdr:colOff>
      <xdr:row>8</xdr:row>
      <xdr:rowOff>57150</xdr:rowOff>
    </xdr:from>
    <xdr:to>
      <xdr:col>21</xdr:col>
      <xdr:colOff>6760</xdr:colOff>
      <xdr:row>30</xdr:row>
      <xdr:rowOff>21891</xdr:rowOff>
    </xdr:to>
    <xdr:grpSp>
      <xdr:nvGrpSpPr>
        <xdr:cNvPr id="23" name="Group 22"/>
        <xdr:cNvGrpSpPr/>
      </xdr:nvGrpSpPr>
      <xdr:grpSpPr>
        <a:xfrm>
          <a:off x="370788" y="1590675"/>
          <a:ext cx="11608897" cy="4165266"/>
          <a:chOff x="370788" y="1590675"/>
          <a:chExt cx="11608897" cy="4165266"/>
        </a:xfrm>
      </xdr:grpSpPr>
      <xdr:sp macro="" textlink="">
        <xdr:nvSpPr>
          <xdr:cNvPr id="18" name="Rectangle 17"/>
          <xdr:cNvSpPr/>
        </xdr:nvSpPr>
        <xdr:spPr>
          <a:xfrm>
            <a:off x="5993376" y="1590676"/>
            <a:ext cx="5986309" cy="4143376"/>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 name="Chart 2"/>
          <xdr:cNvGraphicFramePr/>
        </xdr:nvGraphicFramePr>
        <xdr:xfrm>
          <a:off x="3097376" y="3524250"/>
          <a:ext cx="2924833" cy="22098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 name="Chart 3"/>
          <xdr:cNvGraphicFramePr/>
        </xdr:nvGraphicFramePr>
        <xdr:xfrm>
          <a:off x="3112739" y="1593817"/>
          <a:ext cx="2927243" cy="1961524"/>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6" name="Chart 15"/>
          <xdr:cNvGraphicFramePr>
            <a:graphicFrameLocks/>
          </xdr:cNvGraphicFramePr>
        </xdr:nvGraphicFramePr>
        <xdr:xfrm>
          <a:off x="6301181" y="1809170"/>
          <a:ext cx="3657600" cy="1984248"/>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7" name="Chart 16"/>
          <xdr:cNvGraphicFramePr>
            <a:graphicFrameLocks/>
          </xdr:cNvGraphicFramePr>
        </xdr:nvGraphicFramePr>
        <xdr:xfrm>
          <a:off x="8004065" y="3733800"/>
          <a:ext cx="3657600" cy="1984248"/>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 name="Chart 1"/>
          <xdr:cNvGraphicFramePr/>
        </xdr:nvGraphicFramePr>
        <xdr:xfrm>
          <a:off x="370788" y="2209800"/>
          <a:ext cx="2788746" cy="3546141"/>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a14="http://schemas.microsoft.com/office/drawing/2010/main" Requires="a14">
          <xdr:graphicFrame macro="">
            <xdr:nvGraphicFramePr>
              <xdr:cNvPr id="22" name="TAHUN"/>
              <xdr:cNvGraphicFramePr/>
            </xdr:nvGraphicFramePr>
            <xdr:xfrm>
              <a:off x="390525" y="1590675"/>
              <a:ext cx="2724150" cy="609599"/>
            </xdr:xfrm>
            <a:graphic>
              <a:graphicData uri="http://schemas.microsoft.com/office/drawing/2010/slicer">
                <sle:slicer xmlns:sle="http://schemas.microsoft.com/office/drawing/2010/slicer" name="TAHUN"/>
              </a:graphicData>
            </a:graphic>
          </xdr:graphicFrame>
        </mc:Choice>
        <mc:Fallback>
          <xdr:sp macro="" textlink="">
            <xdr:nvSpPr>
              <xdr:cNvPr id="0" name=""/>
              <xdr:cNvSpPr>
                <a:spLocks noTextEdit="1"/>
              </xdr:cNvSpPr>
            </xdr:nvSpPr>
            <xdr:spPr>
              <a:xfrm>
                <a:off x="390525" y="1590675"/>
                <a:ext cx="2724150" cy="60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504825</xdr:colOff>
      <xdr:row>8</xdr:row>
      <xdr:rowOff>19050</xdr:rowOff>
    </xdr:from>
    <xdr:to>
      <xdr:col>20</xdr:col>
      <xdr:colOff>573405</xdr:colOff>
      <xdr:row>29</xdr:row>
      <xdr:rowOff>161925</xdr:rowOff>
    </xdr:to>
    <xdr:sp macro="" textlink="">
      <xdr:nvSpPr>
        <xdr:cNvPr id="24" name="Rectangle 23"/>
        <xdr:cNvSpPr/>
      </xdr:nvSpPr>
      <xdr:spPr>
        <a:xfrm>
          <a:off x="6381750" y="1552575"/>
          <a:ext cx="5554980" cy="414337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476245</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xdr:twoCellAnchor>
    <xdr:from>
      <xdr:col>3</xdr:col>
      <xdr:colOff>0</xdr:colOff>
      <xdr:row>7</xdr:row>
      <xdr:rowOff>1</xdr:rowOff>
    </xdr:from>
    <xdr:to>
      <xdr:col>5</xdr:col>
      <xdr:colOff>2882</xdr:colOff>
      <xdr:row>8</xdr:row>
      <xdr:rowOff>7561</xdr:rowOff>
    </xdr:to>
    <xdr:sp macro="[0]!InfPen" textlink="">
      <xdr:nvSpPr>
        <xdr:cNvPr id="4" name="Rectangle 3"/>
        <xdr:cNvSpPr/>
      </xdr:nvSpPr>
      <xdr:spPr>
        <a:xfrm>
          <a:off x="926042" y="1334257"/>
          <a:ext cx="1219965" cy="19654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5</xdr:col>
      <xdr:colOff>0</xdr:colOff>
      <xdr:row>7</xdr:row>
      <xdr:rowOff>0</xdr:rowOff>
    </xdr:from>
    <xdr:to>
      <xdr:col>7</xdr:col>
      <xdr:colOff>604157</xdr:colOff>
      <xdr:row>8</xdr:row>
      <xdr:rowOff>7044</xdr:rowOff>
    </xdr:to>
    <xdr:sp macro="[0]!infpenins" textlink="">
      <xdr:nvSpPr>
        <xdr:cNvPr id="5" name="Rectangle 4"/>
        <xdr:cNvSpPr/>
      </xdr:nvSpPr>
      <xdr:spPr>
        <a:xfrm>
          <a:off x="2143125" y="1343025"/>
          <a:ext cx="1899557" cy="1975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18473</xdr:colOff>
      <xdr:row>0</xdr:row>
      <xdr:rowOff>187613</xdr:rowOff>
    </xdr:from>
    <xdr:to>
      <xdr:col>15</xdr:col>
      <xdr:colOff>11545</xdr:colOff>
      <xdr:row>6</xdr:row>
      <xdr:rowOff>7216</xdr:rowOff>
    </xdr:to>
    <xdr:sp macro="[0]!PENELITIAN" textlink="">
      <xdr:nvSpPr>
        <xdr:cNvPr id="6" name="Rectangle 5"/>
        <xdr:cNvSpPr/>
      </xdr:nvSpPr>
      <xdr:spPr>
        <a:xfrm>
          <a:off x="7090064" y="187613"/>
          <a:ext cx="1205345" cy="9597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25400</xdr:colOff>
      <xdr:row>0</xdr:row>
      <xdr:rowOff>187613</xdr:rowOff>
    </xdr:from>
    <xdr:to>
      <xdr:col>13</xdr:col>
      <xdr:colOff>18473</xdr:colOff>
      <xdr:row>6</xdr:row>
      <xdr:rowOff>7216</xdr:rowOff>
    </xdr:to>
    <xdr:sp macro="[0]!performa" textlink="">
      <xdr:nvSpPr>
        <xdr:cNvPr id="7" name="Rectangle 6"/>
        <xdr:cNvSpPr/>
      </xdr:nvSpPr>
      <xdr:spPr>
        <a:xfrm>
          <a:off x="5884718" y="187613"/>
          <a:ext cx="1205346" cy="9597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28864</xdr:colOff>
      <xdr:row>0</xdr:row>
      <xdr:rowOff>187613</xdr:rowOff>
    </xdr:from>
    <xdr:to>
      <xdr:col>11</xdr:col>
      <xdr:colOff>25400</xdr:colOff>
      <xdr:row>6</xdr:row>
      <xdr:rowOff>7216</xdr:rowOff>
    </xdr:to>
    <xdr:sp macro="[0]!homepenc" textlink="">
      <xdr:nvSpPr>
        <xdr:cNvPr id="8" name="Rectangle 7"/>
        <xdr:cNvSpPr/>
      </xdr:nvSpPr>
      <xdr:spPr>
        <a:xfrm>
          <a:off x="4675909" y="187613"/>
          <a:ext cx="1208809" cy="9597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603827</xdr:colOff>
      <xdr:row>0</xdr:row>
      <xdr:rowOff>187613</xdr:rowOff>
    </xdr:from>
    <xdr:to>
      <xdr:col>20</xdr:col>
      <xdr:colOff>597316</xdr:colOff>
      <xdr:row>6</xdr:row>
      <xdr:rowOff>7216</xdr:rowOff>
    </xdr:to>
    <xdr:sp macro="[0]!InfPeng" textlink="">
      <xdr:nvSpPr>
        <xdr:cNvPr id="9" name="Rectangle 8"/>
        <xdr:cNvSpPr/>
      </xdr:nvSpPr>
      <xdr:spPr>
        <a:xfrm>
          <a:off x="10706100" y="187613"/>
          <a:ext cx="1205761" cy="9597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4618</xdr:colOff>
      <xdr:row>0</xdr:row>
      <xdr:rowOff>187613</xdr:rowOff>
    </xdr:from>
    <xdr:to>
      <xdr:col>18</xdr:col>
      <xdr:colOff>603827</xdr:colOff>
      <xdr:row>6</xdr:row>
      <xdr:rowOff>7216</xdr:rowOff>
    </xdr:to>
    <xdr:sp macro="[0]!InfPen" textlink="">
      <xdr:nvSpPr>
        <xdr:cNvPr id="10" name="Rectangle 9"/>
        <xdr:cNvSpPr/>
      </xdr:nvSpPr>
      <xdr:spPr>
        <a:xfrm>
          <a:off x="9500754" y="187613"/>
          <a:ext cx="1205346" cy="9597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11545</xdr:colOff>
      <xdr:row>0</xdr:row>
      <xdr:rowOff>187613</xdr:rowOff>
    </xdr:from>
    <xdr:to>
      <xdr:col>17</xdr:col>
      <xdr:colOff>4618</xdr:colOff>
      <xdr:row>6</xdr:row>
      <xdr:rowOff>7216</xdr:rowOff>
    </xdr:to>
    <xdr:sp macro="[0]!PengMas" textlink="">
      <xdr:nvSpPr>
        <xdr:cNvPr id="11" name="Rectangle 10"/>
        <xdr:cNvSpPr/>
      </xdr:nvSpPr>
      <xdr:spPr>
        <a:xfrm>
          <a:off x="8295409" y="187613"/>
          <a:ext cx="1205345" cy="9597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364192</xdr:colOff>
      <xdr:row>8</xdr:row>
      <xdr:rowOff>84043</xdr:rowOff>
    </xdr:from>
    <xdr:to>
      <xdr:col>20</xdr:col>
      <xdr:colOff>599153</xdr:colOff>
      <xdr:row>30</xdr:row>
      <xdr:rowOff>1</xdr:rowOff>
    </xdr:to>
    <xdr:grpSp>
      <xdr:nvGrpSpPr>
        <xdr:cNvPr id="13" name="Group 12"/>
        <xdr:cNvGrpSpPr/>
      </xdr:nvGrpSpPr>
      <xdr:grpSpPr>
        <a:xfrm>
          <a:off x="364192" y="1617568"/>
          <a:ext cx="11598286" cy="4116483"/>
          <a:chOff x="364192" y="1617568"/>
          <a:chExt cx="11598286" cy="4116483"/>
        </a:xfrm>
      </xdr:grpSpPr>
      <xdr:sp macro="" textlink="">
        <xdr:nvSpPr>
          <xdr:cNvPr id="12" name="Rectangle 11"/>
          <xdr:cNvSpPr/>
        </xdr:nvSpPr>
        <xdr:spPr>
          <a:xfrm>
            <a:off x="5998978" y="1617569"/>
            <a:ext cx="5963500" cy="4110412"/>
          </a:xfrm>
          <a:prstGeom prst="rect">
            <a:avLst/>
          </a:prstGeom>
          <a:solidFill>
            <a:schemeClr val="tx1">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PTN / LLDIKTI 1"/>
              <xdr:cNvGraphicFramePr/>
            </xdr:nvGraphicFramePr>
            <xdr:xfrm>
              <a:off x="10136037" y="1619250"/>
              <a:ext cx="1824487" cy="4114801"/>
            </xdr:xfrm>
            <a:graphic>
              <a:graphicData uri="http://schemas.microsoft.com/office/drawing/2010/slicer">
                <sle:slicer xmlns:sle="http://schemas.microsoft.com/office/drawing/2010/slicer" name="PTN / LLDIKTI 1"/>
              </a:graphicData>
            </a:graphic>
          </xdr:graphicFrame>
        </mc:Choice>
        <mc:Fallback xmlns="">
          <xdr:sp macro="" textlink="">
            <xdr:nvSpPr>
              <xdr:cNvPr id="0" name=""/>
              <xdr:cNvSpPr>
                <a:spLocks noTextEdit="1"/>
              </xdr:cNvSpPr>
            </xdr:nvSpPr>
            <xdr:spPr>
              <a:xfrm>
                <a:off x="10136037" y="1619250"/>
                <a:ext cx="1824487" cy="4114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TAHUN 2"/>
              <xdr:cNvGraphicFramePr/>
            </xdr:nvGraphicFramePr>
            <xdr:xfrm>
              <a:off x="381000" y="1627097"/>
              <a:ext cx="2703980" cy="627530"/>
            </xdr:xfrm>
            <a:graphic>
              <a:graphicData uri="http://schemas.microsoft.com/office/drawing/2010/slicer">
                <sle:slicer xmlns:sle="http://schemas.microsoft.com/office/drawing/2010/slicer" name="TAHUN 2"/>
              </a:graphicData>
            </a:graphic>
          </xdr:graphicFrame>
        </mc:Choice>
        <mc:Fallback xmlns="">
          <xdr:sp macro="" textlink="">
            <xdr:nvSpPr>
              <xdr:cNvPr id="0" name=""/>
              <xdr:cNvSpPr>
                <a:spLocks noTextEdit="1"/>
              </xdr:cNvSpPr>
            </xdr:nvSpPr>
            <xdr:spPr>
              <a:xfrm>
                <a:off x="381000" y="1627097"/>
                <a:ext cx="2703980" cy="6275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22" name="Chart 21"/>
          <xdr:cNvGraphicFramePr>
            <a:graphicFrameLocks/>
          </xdr:cNvGraphicFramePr>
        </xdr:nvGraphicFramePr>
        <xdr:xfrm>
          <a:off x="3084980" y="1617568"/>
          <a:ext cx="2932018" cy="202546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3" name="Chart 22"/>
          <xdr:cNvGraphicFramePr>
            <a:graphicFrameLocks/>
          </xdr:cNvGraphicFramePr>
        </xdr:nvGraphicFramePr>
        <xdr:xfrm>
          <a:off x="3042957" y="3643032"/>
          <a:ext cx="2955631" cy="20803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4" name="Chart 23"/>
          <xdr:cNvGraphicFramePr>
            <a:graphicFrameLocks/>
          </xdr:cNvGraphicFramePr>
        </xdr:nvGraphicFramePr>
        <xdr:xfrm>
          <a:off x="5974976" y="1617570"/>
          <a:ext cx="4091828" cy="1784537"/>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5" name="Chart 24"/>
          <xdr:cNvGraphicFramePr>
            <a:graphicFrameLocks/>
          </xdr:cNvGraphicFramePr>
        </xdr:nvGraphicFramePr>
        <xdr:xfrm>
          <a:off x="5988983" y="3671047"/>
          <a:ext cx="4119844" cy="205684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0" name="Chart 19"/>
          <xdr:cNvGraphicFramePr>
            <a:graphicFrameLocks/>
          </xdr:cNvGraphicFramePr>
        </xdr:nvGraphicFramePr>
        <xdr:xfrm>
          <a:off x="364192" y="2200275"/>
          <a:ext cx="2720787" cy="3533776"/>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466720</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xdr:twoCellAnchor>
    <xdr:from>
      <xdr:col>13</xdr:col>
      <xdr:colOff>0</xdr:colOff>
      <xdr:row>1</xdr:row>
      <xdr:rowOff>0</xdr:rowOff>
    </xdr:from>
    <xdr:to>
      <xdr:col>15</xdr:col>
      <xdr:colOff>0</xdr:colOff>
      <xdr:row>6</xdr:row>
      <xdr:rowOff>1</xdr:rowOff>
    </xdr:to>
    <xdr:sp macro="[0]!PENELITIAN" textlink="">
      <xdr:nvSpPr>
        <xdr:cNvPr id="9" name="Rectangle 8"/>
        <xdr:cNvSpPr/>
      </xdr:nvSpPr>
      <xdr:spPr>
        <a:xfrm>
          <a:off x="710565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13</xdr:col>
      <xdr:colOff>0</xdr:colOff>
      <xdr:row>6</xdr:row>
      <xdr:rowOff>1</xdr:rowOff>
    </xdr:to>
    <xdr:sp macro="[0]!performa" textlink="">
      <xdr:nvSpPr>
        <xdr:cNvPr id="10" name="Rectangle 9"/>
        <xdr:cNvSpPr/>
      </xdr:nvSpPr>
      <xdr:spPr>
        <a:xfrm>
          <a:off x="588645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xdr:row>
      <xdr:rowOff>0</xdr:rowOff>
    </xdr:from>
    <xdr:to>
      <xdr:col>11</xdr:col>
      <xdr:colOff>0</xdr:colOff>
      <xdr:row>6</xdr:row>
      <xdr:rowOff>1</xdr:rowOff>
    </xdr:to>
    <xdr:sp macro="[0]!homepenc" textlink="">
      <xdr:nvSpPr>
        <xdr:cNvPr id="11" name="Rectangle 10"/>
        <xdr:cNvSpPr/>
      </xdr:nvSpPr>
      <xdr:spPr>
        <a:xfrm>
          <a:off x="466725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xdr:row>
      <xdr:rowOff>0</xdr:rowOff>
    </xdr:from>
    <xdr:to>
      <xdr:col>20</xdr:col>
      <xdr:colOff>606552</xdr:colOff>
      <xdr:row>6</xdr:row>
      <xdr:rowOff>1</xdr:rowOff>
    </xdr:to>
    <xdr:sp macro="[0]!InfPeng" textlink="">
      <xdr:nvSpPr>
        <xdr:cNvPr id="12" name="Rectangle 11"/>
        <xdr:cNvSpPr/>
      </xdr:nvSpPr>
      <xdr:spPr>
        <a:xfrm>
          <a:off x="10763250" y="200025"/>
          <a:ext cx="1216152"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19</xdr:col>
      <xdr:colOff>0</xdr:colOff>
      <xdr:row>6</xdr:row>
      <xdr:rowOff>1</xdr:rowOff>
    </xdr:to>
    <xdr:sp macro="[0]!InfPen" textlink="">
      <xdr:nvSpPr>
        <xdr:cNvPr id="13" name="Rectangle 12"/>
        <xdr:cNvSpPr/>
      </xdr:nvSpPr>
      <xdr:spPr>
        <a:xfrm>
          <a:off x="954405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17</xdr:col>
      <xdr:colOff>0</xdr:colOff>
      <xdr:row>6</xdr:row>
      <xdr:rowOff>1</xdr:rowOff>
    </xdr:to>
    <xdr:sp macro="[0]!PengMas" textlink="">
      <xdr:nvSpPr>
        <xdr:cNvPr id="14" name="Rectangle 13"/>
        <xdr:cNvSpPr/>
      </xdr:nvSpPr>
      <xdr:spPr>
        <a:xfrm>
          <a:off x="8324850" y="200025"/>
          <a:ext cx="1219200" cy="9525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8</xdr:row>
      <xdr:rowOff>35278</xdr:rowOff>
    </xdr:from>
    <xdr:to>
      <xdr:col>21</xdr:col>
      <xdr:colOff>0</xdr:colOff>
      <xdr:row>30</xdr:row>
      <xdr:rowOff>12700</xdr:rowOff>
    </xdr:to>
    <xdr:grpSp>
      <xdr:nvGrpSpPr>
        <xdr:cNvPr id="5" name="Group 4"/>
        <xdr:cNvGrpSpPr/>
      </xdr:nvGrpSpPr>
      <xdr:grpSpPr>
        <a:xfrm>
          <a:off x="381000" y="1568803"/>
          <a:ext cx="11601450" cy="4177947"/>
          <a:chOff x="381000" y="1568803"/>
          <a:chExt cx="11601450" cy="4177947"/>
        </a:xfrm>
      </xdr:grpSpPr>
      <xdr:sp macro="" textlink="">
        <xdr:nvSpPr>
          <xdr:cNvPr id="4" name="Rectangle 3"/>
          <xdr:cNvSpPr/>
        </xdr:nvSpPr>
        <xdr:spPr>
          <a:xfrm>
            <a:off x="381000" y="1568803"/>
            <a:ext cx="11601450" cy="4177947"/>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6" name="Chart 15"/>
          <xdr:cNvGraphicFramePr>
            <a:graphicFrameLocks/>
          </xdr:cNvGraphicFramePr>
        </xdr:nvGraphicFramePr>
        <xdr:xfrm>
          <a:off x="7197725" y="1574800"/>
          <a:ext cx="4754880" cy="20828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7" name="Chart 16"/>
          <xdr:cNvGraphicFramePr>
            <a:graphicFrameLocks/>
          </xdr:cNvGraphicFramePr>
        </xdr:nvGraphicFramePr>
        <xdr:xfrm>
          <a:off x="384175" y="2244725"/>
          <a:ext cx="3383280" cy="34798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9" name="Chart 18"/>
          <xdr:cNvGraphicFramePr>
            <a:graphicFrameLocks/>
          </xdr:cNvGraphicFramePr>
        </xdr:nvGraphicFramePr>
        <xdr:xfrm>
          <a:off x="3803650" y="1574800"/>
          <a:ext cx="3383280" cy="414020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xdr:cNvGraphicFramePr>
            <a:graphicFrameLocks/>
          </xdr:cNvGraphicFramePr>
        </xdr:nvGraphicFramePr>
        <xdr:xfrm>
          <a:off x="7197725" y="3794125"/>
          <a:ext cx="4754880" cy="1952625"/>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graphicFrame macro="">
            <xdr:nvGraphicFramePr>
              <xdr:cNvPr id="3" name="TAHUN 1"/>
              <xdr:cNvGraphicFramePr/>
            </xdr:nvGraphicFramePr>
            <xdr:xfrm>
              <a:off x="393700" y="1590676"/>
              <a:ext cx="3383280" cy="654049"/>
            </xdr:xfrm>
            <a:graphic>
              <a:graphicData uri="http://schemas.microsoft.com/office/drawing/2010/slicer">
                <sle:slicer xmlns:sle="http://schemas.microsoft.com/office/drawing/2010/slicer" name="TAHUN 1"/>
              </a:graphicData>
            </a:graphic>
          </xdr:graphicFrame>
        </mc:Choice>
        <mc:Fallback xmlns="">
          <xdr:sp macro="" textlink="">
            <xdr:nvSpPr>
              <xdr:cNvPr id="0" name=""/>
              <xdr:cNvSpPr>
                <a:spLocks noTextEdit="1"/>
              </xdr:cNvSpPr>
            </xdr:nvSpPr>
            <xdr:spPr>
              <a:xfrm>
                <a:off x="393700" y="1590676"/>
                <a:ext cx="3383280" cy="654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4</xdr:col>
      <xdr:colOff>600076</xdr:colOff>
      <xdr:row>6</xdr:row>
      <xdr:rowOff>180975</xdr:rowOff>
    </xdr:from>
    <xdr:to>
      <xdr:col>8</xdr:col>
      <xdr:colOff>0</xdr:colOff>
      <xdr:row>8</xdr:row>
      <xdr:rowOff>12022</xdr:rowOff>
    </xdr:to>
    <xdr:sp macro="[0]!infins" textlink="">
      <xdr:nvSpPr>
        <xdr:cNvPr id="18" name="Rectangle 17"/>
        <xdr:cNvSpPr/>
      </xdr:nvSpPr>
      <xdr:spPr>
        <a:xfrm>
          <a:off x="2105026" y="1333500"/>
          <a:ext cx="1952624" cy="2120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6</xdr:row>
      <xdr:rowOff>180974</xdr:rowOff>
    </xdr:from>
    <xdr:to>
      <xdr:col>4</xdr:col>
      <xdr:colOff>599573</xdr:colOff>
      <xdr:row>8</xdr:row>
      <xdr:rowOff>10286</xdr:rowOff>
    </xdr:to>
    <xdr:sp macro="[0]!InfPeng" textlink="">
      <xdr:nvSpPr>
        <xdr:cNvPr id="21" name="Rectangle 20"/>
        <xdr:cNvSpPr/>
      </xdr:nvSpPr>
      <xdr:spPr>
        <a:xfrm>
          <a:off x="895350" y="1333499"/>
          <a:ext cx="1209173" cy="21031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93345</xdr:colOff>
      <xdr:row>8</xdr:row>
      <xdr:rowOff>38100</xdr:rowOff>
    </xdr:from>
    <xdr:to>
      <xdr:col>20</xdr:col>
      <xdr:colOff>581025</xdr:colOff>
      <xdr:row>29</xdr:row>
      <xdr:rowOff>180975</xdr:rowOff>
    </xdr:to>
    <xdr:sp macro="" textlink="">
      <xdr:nvSpPr>
        <xdr:cNvPr id="22" name="Rectangle 21"/>
        <xdr:cNvSpPr/>
      </xdr:nvSpPr>
      <xdr:spPr>
        <a:xfrm>
          <a:off x="7198995" y="1571625"/>
          <a:ext cx="4754880" cy="414337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180975</xdr:colOff>
      <xdr:row>1</xdr:row>
      <xdr:rowOff>85725</xdr:rowOff>
    </xdr:from>
    <xdr:to>
      <xdr:col>8</xdr:col>
      <xdr:colOff>506483</xdr:colOff>
      <xdr:row>5</xdr:row>
      <xdr:rowOff>85724</xdr:rowOff>
    </xdr:to>
    <xdr:pic macro="[0]!HomePage">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285750"/>
          <a:ext cx="3962395" cy="761999"/>
        </a:xfrm>
        <a:prstGeom prst="rect">
          <a:avLst/>
        </a:prstGeom>
      </xdr:spPr>
    </xdr:pic>
    <xdr:clientData/>
  </xdr:twoCellAnchor>
  <xdr:twoCellAnchor>
    <xdr:from>
      <xdr:col>19</xdr:col>
      <xdr:colOff>3321</xdr:colOff>
      <xdr:row>0</xdr:row>
      <xdr:rowOff>200241</xdr:rowOff>
    </xdr:from>
    <xdr:to>
      <xdr:col>21</xdr:col>
      <xdr:colOff>160</xdr:colOff>
      <xdr:row>6</xdr:row>
      <xdr:rowOff>0</xdr:rowOff>
    </xdr:to>
    <xdr:sp macro="[0]!InfPeng" textlink="">
      <xdr:nvSpPr>
        <xdr:cNvPr id="29" name="Rectangle 28"/>
        <xdr:cNvSpPr/>
      </xdr:nvSpPr>
      <xdr:spPr>
        <a:xfrm>
          <a:off x="10459173" y="200241"/>
          <a:ext cx="1209112" cy="947089"/>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524429</xdr:colOff>
      <xdr:row>1</xdr:row>
      <xdr:rowOff>0</xdr:rowOff>
    </xdr:from>
    <xdr:to>
      <xdr:col>16</xdr:col>
      <xdr:colOff>531937</xdr:colOff>
      <xdr:row>5</xdr:row>
      <xdr:rowOff>189817</xdr:rowOff>
    </xdr:to>
    <xdr:sp macro="[0]!PengMas" textlink="">
      <xdr:nvSpPr>
        <xdr:cNvPr id="32" name="Rectangle 31"/>
        <xdr:cNvSpPr/>
      </xdr:nvSpPr>
      <xdr:spPr>
        <a:xfrm>
          <a:off x="8307715" y="199571"/>
          <a:ext cx="1250293" cy="951817"/>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531685</xdr:colOff>
      <xdr:row>0</xdr:row>
      <xdr:rowOff>200240</xdr:rowOff>
    </xdr:from>
    <xdr:to>
      <xdr:col>19</xdr:col>
      <xdr:colOff>3565</xdr:colOff>
      <xdr:row>5</xdr:row>
      <xdr:rowOff>189417</xdr:rowOff>
    </xdr:to>
    <xdr:sp macro="[0]!InfPen" textlink="">
      <xdr:nvSpPr>
        <xdr:cNvPr id="33" name="Rectangle 32"/>
        <xdr:cNvSpPr/>
      </xdr:nvSpPr>
      <xdr:spPr>
        <a:xfrm>
          <a:off x="9277367" y="200240"/>
          <a:ext cx="1182050" cy="947089"/>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531700</xdr:colOff>
      <xdr:row>1</xdr:row>
      <xdr:rowOff>1212</xdr:rowOff>
    </xdr:from>
    <xdr:to>
      <xdr:col>10</xdr:col>
      <xdr:colOff>557350</xdr:colOff>
      <xdr:row>6</xdr:row>
      <xdr:rowOff>0</xdr:rowOff>
    </xdr:to>
    <xdr:sp macro="[0]!homepenc" textlink="">
      <xdr:nvSpPr>
        <xdr:cNvPr id="34" name="Rectangle 33"/>
        <xdr:cNvSpPr/>
      </xdr:nvSpPr>
      <xdr:spPr>
        <a:xfrm>
          <a:off x="4538248" y="197760"/>
          <a:ext cx="1250292" cy="981526"/>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557097</xdr:colOff>
      <xdr:row>1</xdr:row>
      <xdr:rowOff>1</xdr:rowOff>
    </xdr:from>
    <xdr:to>
      <xdr:col>12</xdr:col>
      <xdr:colOff>542636</xdr:colOff>
      <xdr:row>6</xdr:row>
      <xdr:rowOff>1</xdr:rowOff>
    </xdr:to>
    <xdr:sp macro="[0]!performa" textlink="">
      <xdr:nvSpPr>
        <xdr:cNvPr id="35" name="Rectangle 34"/>
        <xdr:cNvSpPr/>
      </xdr:nvSpPr>
      <xdr:spPr>
        <a:xfrm>
          <a:off x="5746779" y="199160"/>
          <a:ext cx="1177607" cy="952500"/>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541425</xdr:colOff>
      <xdr:row>0</xdr:row>
      <xdr:rowOff>200524</xdr:rowOff>
    </xdr:from>
    <xdr:to>
      <xdr:col>14</xdr:col>
      <xdr:colOff>526015</xdr:colOff>
      <xdr:row>5</xdr:row>
      <xdr:rowOff>189815</xdr:rowOff>
    </xdr:to>
    <xdr:sp macro="[0]!PENELITIAN" textlink="">
      <xdr:nvSpPr>
        <xdr:cNvPr id="37" name="Rectangle 36"/>
        <xdr:cNvSpPr/>
      </xdr:nvSpPr>
      <xdr:spPr>
        <a:xfrm>
          <a:off x="6938214" y="200524"/>
          <a:ext cx="1177722" cy="951817"/>
        </a:xfrm>
        <a:prstGeom prst="rect">
          <a:avLst/>
        </a:prstGeom>
        <a:no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609599</xdr:colOff>
      <xdr:row>6</xdr:row>
      <xdr:rowOff>180975</xdr:rowOff>
    </xdr:from>
    <xdr:to>
      <xdr:col>4</xdr:col>
      <xdr:colOff>600074</xdr:colOff>
      <xdr:row>8</xdr:row>
      <xdr:rowOff>10287</xdr:rowOff>
    </xdr:to>
    <xdr:sp macro="[0]!InfPeng" textlink="">
      <xdr:nvSpPr>
        <xdr:cNvPr id="38" name="Rectangle 37"/>
        <xdr:cNvSpPr/>
      </xdr:nvSpPr>
      <xdr:spPr>
        <a:xfrm>
          <a:off x="990599" y="1333500"/>
          <a:ext cx="1209675" cy="21031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600075</xdr:colOff>
      <xdr:row>6</xdr:row>
      <xdr:rowOff>180975</xdr:rowOff>
    </xdr:from>
    <xdr:to>
      <xdr:col>7</xdr:col>
      <xdr:colOff>600075</xdr:colOff>
      <xdr:row>8</xdr:row>
      <xdr:rowOff>10287</xdr:rowOff>
    </xdr:to>
    <xdr:sp macro="[0]!infins" textlink="">
      <xdr:nvSpPr>
        <xdr:cNvPr id="41" name="Rectangle 40"/>
        <xdr:cNvSpPr/>
      </xdr:nvSpPr>
      <xdr:spPr>
        <a:xfrm>
          <a:off x="2200275" y="1333500"/>
          <a:ext cx="1828800" cy="21031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xdr:col>
      <xdr:colOff>368020</xdr:colOff>
      <xdr:row>8</xdr:row>
      <xdr:rowOff>51552</xdr:rowOff>
    </xdr:from>
    <xdr:to>
      <xdr:col>21</xdr:col>
      <xdr:colOff>5267</xdr:colOff>
      <xdr:row>30</xdr:row>
      <xdr:rowOff>6945</xdr:rowOff>
    </xdr:to>
    <xdr:grpSp>
      <xdr:nvGrpSpPr>
        <xdr:cNvPr id="3" name="Group 2"/>
        <xdr:cNvGrpSpPr/>
      </xdr:nvGrpSpPr>
      <xdr:grpSpPr>
        <a:xfrm>
          <a:off x="368020" y="1585077"/>
          <a:ext cx="11286322" cy="4155918"/>
          <a:chOff x="368020" y="1585077"/>
          <a:chExt cx="11286322" cy="4155918"/>
        </a:xfrm>
      </xdr:grpSpPr>
      <xdr:sp macro="" textlink="">
        <xdr:nvSpPr>
          <xdr:cNvPr id="11" name="Rectangle 10"/>
          <xdr:cNvSpPr/>
        </xdr:nvSpPr>
        <xdr:spPr>
          <a:xfrm>
            <a:off x="382441" y="1714955"/>
            <a:ext cx="11256202" cy="401909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6" name="TAHUN 3"/>
              <xdr:cNvGraphicFramePr/>
            </xdr:nvGraphicFramePr>
            <xdr:xfrm>
              <a:off x="390605" y="1586084"/>
              <a:ext cx="3253054" cy="640080"/>
            </xdr:xfrm>
            <a:graphic>
              <a:graphicData uri="http://schemas.microsoft.com/office/drawing/2010/slicer">
                <sle:slicer xmlns:sle="http://schemas.microsoft.com/office/drawing/2010/slicer" name="TAHUN 3"/>
              </a:graphicData>
            </a:graphic>
          </xdr:graphicFrame>
        </mc:Choice>
        <mc:Fallback xmlns="">
          <xdr:sp macro="" textlink="">
            <xdr:nvSpPr>
              <xdr:cNvPr id="0" name=""/>
              <xdr:cNvSpPr>
                <a:spLocks noTextEdit="1"/>
              </xdr:cNvSpPr>
            </xdr:nvSpPr>
            <xdr:spPr>
              <a:xfrm>
                <a:off x="390605" y="1586084"/>
                <a:ext cx="325305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7" name="Chart 16"/>
          <xdr:cNvGraphicFramePr>
            <a:graphicFrameLocks/>
          </xdr:cNvGraphicFramePr>
        </xdr:nvGraphicFramePr>
        <xdr:xfrm>
          <a:off x="368020" y="2228851"/>
          <a:ext cx="3657600" cy="351214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9" name="Chart 18"/>
          <xdr:cNvGraphicFramePr>
            <a:graphicFrameLocks/>
          </xdr:cNvGraphicFramePr>
        </xdr:nvGraphicFramePr>
        <xdr:xfrm>
          <a:off x="4061013" y="2247900"/>
          <a:ext cx="3657600" cy="348951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0" name="Chart 19"/>
          <xdr:cNvGraphicFramePr>
            <a:graphicFrameLocks/>
          </xdr:cNvGraphicFramePr>
        </xdr:nvGraphicFramePr>
        <xdr:xfrm>
          <a:off x="7799070" y="2251262"/>
          <a:ext cx="3840480" cy="1746504"/>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1" name="Chart 20"/>
          <xdr:cNvGraphicFramePr>
            <a:graphicFrameLocks/>
          </xdr:cNvGraphicFramePr>
        </xdr:nvGraphicFramePr>
        <xdr:xfrm>
          <a:off x="7813862" y="3956478"/>
          <a:ext cx="3840480" cy="1746504"/>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graphicFrame macro="">
            <xdr:nvGraphicFramePr>
              <xdr:cNvPr id="4" name="PTN / LLDIKTI"/>
              <xdr:cNvGraphicFramePr/>
            </xdr:nvGraphicFramePr>
            <xdr:xfrm>
              <a:off x="3656478" y="1585077"/>
              <a:ext cx="7992597" cy="640080"/>
            </xdr:xfrm>
            <a:graphic>
              <a:graphicData uri="http://schemas.microsoft.com/office/drawing/2010/slicer">
                <sle:slicer xmlns:sle="http://schemas.microsoft.com/office/drawing/2010/slicer" name="PTN / LLDIKTI"/>
              </a:graphicData>
            </a:graphic>
          </xdr:graphicFrame>
        </mc:Choice>
        <mc:Fallback xmlns="">
          <xdr:sp macro="" textlink="">
            <xdr:nvSpPr>
              <xdr:cNvPr id="0" name=""/>
              <xdr:cNvSpPr>
                <a:spLocks noTextEdit="1"/>
              </xdr:cNvSpPr>
            </xdr:nvSpPr>
            <xdr:spPr>
              <a:xfrm>
                <a:off x="3656478" y="1585077"/>
                <a:ext cx="7992597"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-358383</xdr:rowOff>
        </xdr:from>
        <xdr:to>
          <xdr:col>5</xdr:col>
          <xdr:colOff>0</xdr:colOff>
          <xdr:row>0</xdr:row>
          <xdr:rowOff>-358383</xdr:rowOff>
        </xdr:to>
        <xdr:grpSp>
          <xdr:nvGrpSpPr>
            <xdr:cNvPr id="2" name="Group 1"/>
            <xdr:cNvGrpSpPr/>
          </xdr:nvGrpSpPr>
          <xdr:grpSpPr>
            <a:xfrm>
              <a:off x="9366250" y="-358383"/>
              <a:ext cx="0" cy="0"/>
              <a:chOff x="9366250" y="-358383"/>
              <a:chExt cx="0" cy="0"/>
            </a:xfrm>
          </xdr:grpSpPr>
        </xdr:grpSp>
        <xdr:clientData/>
      </xdr:twoCellAnchor>
    </mc:Choice>
    <mc:Fallback/>
  </mc:AlternateContent>
  <xdr:twoCellAnchor>
    <xdr:from>
      <xdr:col>14</xdr:col>
      <xdr:colOff>15875</xdr:colOff>
      <xdr:row>0</xdr:row>
      <xdr:rowOff>15875</xdr:rowOff>
    </xdr:from>
    <xdr:to>
      <xdr:col>14</xdr:col>
      <xdr:colOff>1095375</xdr:colOff>
      <xdr:row>0</xdr:row>
      <xdr:rowOff>476250</xdr:rowOff>
    </xdr:to>
    <xdr:sp macro="[0]!HomePage" textlink="">
      <xdr:nvSpPr>
        <xdr:cNvPr id="3" name="Rectangle 2"/>
        <xdr:cNvSpPr/>
      </xdr:nvSpPr>
      <xdr:spPr>
        <a:xfrm>
          <a:off x="22383750" y="15875"/>
          <a:ext cx="1079500" cy="4603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319087</xdr:colOff>
      <xdr:row>2</xdr:row>
      <xdr:rowOff>114300</xdr:rowOff>
    </xdr:from>
    <xdr:to>
      <xdr:col>11</xdr:col>
      <xdr:colOff>1576387</xdr:colOff>
      <xdr:row>17</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395287</xdr:colOff>
      <xdr:row>14</xdr:row>
      <xdr:rowOff>161925</xdr:rowOff>
    </xdr:from>
    <xdr:to>
      <xdr:col>8</xdr:col>
      <xdr:colOff>414337</xdr:colOff>
      <xdr:row>29</xdr:row>
      <xdr:rowOff>47625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395287</xdr:colOff>
      <xdr:row>28</xdr:row>
      <xdr:rowOff>161925</xdr:rowOff>
    </xdr:from>
    <xdr:to>
      <xdr:col>8</xdr:col>
      <xdr:colOff>157162</xdr:colOff>
      <xdr:row>43</xdr:row>
      <xdr:rowOff>47625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545986</xdr:colOff>
      <xdr:row>47</xdr:row>
      <xdr:rowOff>125186</xdr:rowOff>
    </xdr:from>
    <xdr:to>
      <xdr:col>24</xdr:col>
      <xdr:colOff>355486</xdr:colOff>
      <xdr:row>62</xdr:row>
      <xdr:rowOff>61913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273844</xdr:colOff>
      <xdr:row>10</xdr:row>
      <xdr:rowOff>142195</xdr:rowOff>
    </xdr:from>
    <xdr:to>
      <xdr:col>24</xdr:col>
      <xdr:colOff>372496</xdr:colOff>
      <xdr:row>25</xdr:row>
      <xdr:rowOff>78922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18709</xdr:colOff>
      <xdr:row>31</xdr:row>
      <xdr:rowOff>108177</xdr:rowOff>
    </xdr:from>
    <xdr:to>
      <xdr:col>24</xdr:col>
      <xdr:colOff>355486</xdr:colOff>
      <xdr:row>46</xdr:row>
      <xdr:rowOff>44904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358888</xdr:colOff>
      <xdr:row>6</xdr:row>
      <xdr:rowOff>74159</xdr:rowOff>
    </xdr:from>
    <xdr:to>
      <xdr:col>28</xdr:col>
      <xdr:colOff>593611</xdr:colOff>
      <xdr:row>21</xdr:row>
      <xdr:rowOff>10885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26</xdr:col>
      <xdr:colOff>154782</xdr:colOff>
      <xdr:row>33</xdr:row>
      <xdr:rowOff>23131</xdr:rowOff>
    </xdr:from>
    <xdr:to>
      <xdr:col>31</xdr:col>
      <xdr:colOff>168388</xdr:colOff>
      <xdr:row>47</xdr:row>
      <xdr:rowOff>146956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1566862</xdr:colOff>
      <xdr:row>6</xdr:row>
      <xdr:rowOff>0</xdr:rowOff>
    </xdr:from>
    <xdr:to>
      <xdr:col>9</xdr:col>
      <xdr:colOff>233362</xdr:colOff>
      <xdr:row>20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1143866</xdr:colOff>
      <xdr:row>0</xdr:row>
      <xdr:rowOff>173182</xdr:rowOff>
    </xdr:from>
    <xdr:to>
      <xdr:col>16</xdr:col>
      <xdr:colOff>160193</xdr:colOff>
      <xdr:row>15</xdr:row>
      <xdr:rowOff>58882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638175</xdr:colOff>
      <xdr:row>27</xdr:row>
      <xdr:rowOff>0</xdr:rowOff>
    </xdr:from>
    <xdr:to>
      <xdr:col>7</xdr:col>
      <xdr:colOff>457200</xdr:colOff>
      <xdr:row>41</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1609725</xdr:colOff>
      <xdr:row>34</xdr:row>
      <xdr:rowOff>38100</xdr:rowOff>
    </xdr:from>
    <xdr:to>
      <xdr:col>9</xdr:col>
      <xdr:colOff>209550</xdr:colOff>
      <xdr:row>48</xdr:row>
      <xdr:rowOff>114300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277091</xdr:colOff>
      <xdr:row>16</xdr:row>
      <xdr:rowOff>152400</xdr:rowOff>
    </xdr:from>
    <xdr:to>
      <xdr:col>10</xdr:col>
      <xdr:colOff>502227</xdr:colOff>
      <xdr:row>31</xdr:row>
      <xdr:rowOff>38100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528204</xdr:colOff>
      <xdr:row>13</xdr:row>
      <xdr:rowOff>187036</xdr:rowOff>
    </xdr:from>
    <xdr:to>
      <xdr:col>24</xdr:col>
      <xdr:colOff>43295</xdr:colOff>
      <xdr:row>28</xdr:row>
      <xdr:rowOff>72736</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597476</xdr:colOff>
      <xdr:row>34</xdr:row>
      <xdr:rowOff>48491</xdr:rowOff>
    </xdr:from>
    <xdr:to>
      <xdr:col>23</xdr:col>
      <xdr:colOff>199158</xdr:colOff>
      <xdr:row>48</xdr:row>
      <xdr:rowOff>124691</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385535</xdr:colOff>
      <xdr:row>8</xdr:row>
      <xdr:rowOff>181428</xdr:rowOff>
    </xdr:from>
    <xdr:to>
      <xdr:col>30</xdr:col>
      <xdr:colOff>368217</xdr:colOff>
      <xdr:row>23</xdr:row>
      <xdr:rowOff>64860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481013</xdr:colOff>
      <xdr:row>4</xdr:row>
      <xdr:rowOff>28574</xdr:rowOff>
    </xdr:from>
    <xdr:to>
      <xdr:col>19</xdr:col>
      <xdr:colOff>166688</xdr:colOff>
      <xdr:row>18</xdr:row>
      <xdr:rowOff>104774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1603946</xdr:colOff>
      <xdr:row>17</xdr:row>
      <xdr:rowOff>115530</xdr:rowOff>
    </xdr:from>
    <xdr:to>
      <xdr:col>13</xdr:col>
      <xdr:colOff>337121</xdr:colOff>
      <xdr:row>32</xdr:row>
      <xdr:rowOff>1230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790575</xdr:colOff>
      <xdr:row>39</xdr:row>
      <xdr:rowOff>147637</xdr:rowOff>
    </xdr:from>
    <xdr:to>
      <xdr:col>14</xdr:col>
      <xdr:colOff>476250</xdr:colOff>
      <xdr:row>54</xdr:row>
      <xdr:rowOff>33337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ownloads\OTW%20FIX%20(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nelitian"/>
      <sheetName val="Dashboard"/>
      <sheetName val="Pengabdian"/>
      <sheetName val="GRAFIKPEN"/>
      <sheetName val="GRAFIK PENG"/>
    </sheetNames>
    <sheetDataSet>
      <sheetData sheetId="0">
        <row r="1">
          <cell r="A1" t="str">
            <v>No</v>
          </cell>
          <cell r="B1" t="str">
            <v>PTN / LLDIKTI</v>
          </cell>
          <cell r="C1" t="str">
            <v>NAMA INSTITUSI</v>
          </cell>
          <cell r="D1" t="str">
            <v>SKEMA</v>
          </cell>
          <cell r="E1" t="str">
            <v>NAMA</v>
          </cell>
          <cell r="F1" t="str">
            <v>Nama Anggota 1</v>
          </cell>
          <cell r="G1" t="str">
            <v>Nama Anggota 2</v>
          </cell>
          <cell r="H1" t="str">
            <v>NIDN</v>
          </cell>
          <cell r="I1" t="str">
            <v>JUDUL</v>
          </cell>
          <cell r="J1" t="str">
            <v>DURASI PENELITIAN
(Tahun)</v>
          </cell>
          <cell r="K1" t="str">
            <v>STATUS USULAN</v>
          </cell>
          <cell r="L1" t="str">
            <v>PENDANAAN BIAYA</v>
          </cell>
        </row>
        <row r="2">
          <cell r="A2">
            <v>1</v>
          </cell>
        </row>
        <row r="3">
          <cell r="A3">
            <v>2</v>
          </cell>
        </row>
        <row r="4">
          <cell r="A4">
            <v>3</v>
          </cell>
        </row>
        <row r="5">
          <cell r="A5">
            <v>4</v>
          </cell>
        </row>
        <row r="6">
          <cell r="A6">
            <v>5</v>
          </cell>
        </row>
        <row r="7">
          <cell r="A7">
            <v>6</v>
          </cell>
        </row>
        <row r="8">
          <cell r="A8">
            <v>7</v>
          </cell>
        </row>
        <row r="9">
          <cell r="A9">
            <v>8</v>
          </cell>
        </row>
        <row r="10">
          <cell r="A10">
            <v>9</v>
          </cell>
        </row>
        <row r="11">
          <cell r="A11">
            <v>10</v>
          </cell>
        </row>
        <row r="12">
          <cell r="A12">
            <v>11</v>
          </cell>
        </row>
        <row r="13">
          <cell r="A13">
            <v>12</v>
          </cell>
        </row>
        <row r="14">
          <cell r="A14">
            <v>13</v>
          </cell>
        </row>
        <row r="15">
          <cell r="A15">
            <v>14</v>
          </cell>
        </row>
        <row r="16">
          <cell r="A16">
            <v>15</v>
          </cell>
        </row>
        <row r="17">
          <cell r="A17">
            <v>16</v>
          </cell>
        </row>
        <row r="18">
          <cell r="A18">
            <v>17</v>
          </cell>
        </row>
        <row r="19">
          <cell r="A19">
            <v>18</v>
          </cell>
        </row>
        <row r="20">
          <cell r="A20">
            <v>19</v>
          </cell>
        </row>
        <row r="21">
          <cell r="A21">
            <v>20</v>
          </cell>
        </row>
        <row r="22">
          <cell r="A22">
            <v>21</v>
          </cell>
        </row>
        <row r="23">
          <cell r="A23">
            <v>22</v>
          </cell>
        </row>
        <row r="24">
          <cell r="A24">
            <v>23</v>
          </cell>
        </row>
        <row r="25">
          <cell r="A25">
            <v>24</v>
          </cell>
        </row>
        <row r="26">
          <cell r="A26">
            <v>25</v>
          </cell>
        </row>
        <row r="27">
          <cell r="A27">
            <v>26</v>
          </cell>
        </row>
        <row r="28">
          <cell r="A28">
            <v>27</v>
          </cell>
        </row>
        <row r="29">
          <cell r="A29">
            <v>28</v>
          </cell>
        </row>
        <row r="30">
          <cell r="A30">
            <v>29</v>
          </cell>
        </row>
        <row r="31">
          <cell r="A31">
            <v>30</v>
          </cell>
        </row>
        <row r="32">
          <cell r="A32">
            <v>31</v>
          </cell>
        </row>
        <row r="33">
          <cell r="A33">
            <v>32</v>
          </cell>
        </row>
        <row r="34">
          <cell r="A34">
            <v>33</v>
          </cell>
        </row>
        <row r="35">
          <cell r="A35">
            <v>34</v>
          </cell>
        </row>
        <row r="36">
          <cell r="A36">
            <v>35</v>
          </cell>
        </row>
        <row r="37">
          <cell r="A37">
            <v>36</v>
          </cell>
        </row>
        <row r="38">
          <cell r="A38">
            <v>37</v>
          </cell>
        </row>
        <row r="39">
          <cell r="A39">
            <v>38</v>
          </cell>
        </row>
        <row r="40">
          <cell r="A40">
            <v>39</v>
          </cell>
        </row>
        <row r="41">
          <cell r="A41">
            <v>40</v>
          </cell>
        </row>
        <row r="42">
          <cell r="A42">
            <v>41</v>
          </cell>
        </row>
        <row r="43">
          <cell r="A43">
            <v>42</v>
          </cell>
        </row>
        <row r="44">
          <cell r="A44">
            <v>43</v>
          </cell>
        </row>
        <row r="45">
          <cell r="A45">
            <v>44</v>
          </cell>
        </row>
        <row r="46">
          <cell r="A46">
            <v>45</v>
          </cell>
        </row>
        <row r="47">
          <cell r="A47">
            <v>46</v>
          </cell>
        </row>
        <row r="48">
          <cell r="A48">
            <v>47</v>
          </cell>
        </row>
        <row r="49">
          <cell r="A49">
            <v>48</v>
          </cell>
        </row>
        <row r="50">
          <cell r="A50">
            <v>49</v>
          </cell>
        </row>
        <row r="51">
          <cell r="A51">
            <v>50</v>
          </cell>
        </row>
        <row r="52">
          <cell r="A52">
            <v>51</v>
          </cell>
        </row>
        <row r="53">
          <cell r="A53">
            <v>52</v>
          </cell>
        </row>
        <row r="54">
          <cell r="A54">
            <v>53</v>
          </cell>
        </row>
        <row r="55">
          <cell r="A55">
            <v>54</v>
          </cell>
        </row>
        <row r="56">
          <cell r="A56">
            <v>55</v>
          </cell>
        </row>
        <row r="57">
          <cell r="A57">
            <v>56</v>
          </cell>
        </row>
        <row r="58">
          <cell r="A58">
            <v>57</v>
          </cell>
        </row>
        <row r="59">
          <cell r="A59">
            <v>58</v>
          </cell>
        </row>
        <row r="60">
          <cell r="A60">
            <v>59</v>
          </cell>
        </row>
        <row r="61">
          <cell r="A61">
            <v>60</v>
          </cell>
        </row>
        <row r="62">
          <cell r="A62">
            <v>61</v>
          </cell>
        </row>
        <row r="63">
          <cell r="A63">
            <v>62</v>
          </cell>
        </row>
        <row r="64">
          <cell r="A64">
            <v>63</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row r="100">
          <cell r="A100">
            <v>99</v>
          </cell>
        </row>
        <row r="101">
          <cell r="A101">
            <v>100</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3907.734001620367" createdVersion="5" refreshedVersion="5" minRefreshableVersion="3" recordCount="200">
  <cacheSource type="worksheet">
    <worksheetSource name="MasterData"/>
  </cacheSource>
  <cacheFields count="13">
    <cacheField name="JENIS" numFmtId="0">
      <sharedItems count="2">
        <s v="Penelitian"/>
        <s v="Pengabdian Masyarakat"/>
      </sharedItems>
    </cacheField>
    <cacheField name="PTN / LLDIKTI" numFmtId="0">
      <sharedItems count="15">
        <s v="LLDIKTI WILAYAH IV"/>
        <s v="LLDIKTI WILAYAH VII"/>
        <s v="LLDIKTI WILAYAH I"/>
        <s v="LLDIKTI WILAYAH III"/>
        <s v="LLDIKTI WILAYAH XI"/>
        <s v="LLDIKTI WILAYAH XIV"/>
        <s v="LLDIKTI WILAYAH XII"/>
        <s v="LLDIKTI WILAYAH VI"/>
        <s v="LLDIKTI WILAYAH IX"/>
        <s v="LLDIKTI WILAYAH II"/>
        <s v="PTN"/>
        <s v="LLDIKTI WILAYAH VIII"/>
        <s v="LLDIKTI WILAYAH X"/>
        <s v="LLDIKTI WILAYAH V"/>
        <s v="LLDIKTI WILAYAH XIII"/>
      </sharedItems>
    </cacheField>
    <cacheField name="NAMA INSTITUSI" numFmtId="0">
      <sharedItems count="160">
        <s v="Sekolah Tinggi Ilmu Kesehatan Makassar"/>
        <s v="Universitas Putra Indonesia Yptk Padang"/>
        <s v="Universitas Bhayangkara Jakarta Raya"/>
        <s v="STMIK Primakara"/>
        <s v="Universitas Islam Riau"/>
        <s v="Sekolah Tinggi Ilmu Kesehatan Syedza Saintika"/>
        <s v="Universitas Iqra Buru"/>
        <s v="Politeknik Gajah Tunggal"/>
        <s v="Universitas Universal"/>
        <s v="Universitas Islam Raden Rahmat"/>
        <s v="STKIP Nurul Huda di Sukaraja"/>
        <s v="Universitas Halu Oleo"/>
        <s v="Universitas BSI"/>
        <s v="STKIP Muhammadiyah Pagaralam"/>
        <s v="Universitas 17 Agustus_x000a_1945 Jakarta"/>
        <s v="Politeknik Nasional Denpasar"/>
        <s v="Universitas Negeri Yogyakarta"/>
        <s v="Universitas Dhyana Pura"/>
        <s v="Universitas Nahdlatul Ulama Yogyakarta"/>
        <s v="Universitas KH. A. Wahab Hasbullah"/>
        <s v="Universitas Mercu Buana"/>
        <s v="Universitas PGRI Yogyakarta"/>
        <s v="Universitas Widya Kartika"/>
        <s v="Politeknik Elektronik Negeri Surabaya"/>
        <s v="STISIP Muhammadiyah Sinjai"/>
        <s v="Universitas Andalas"/>
        <s v="Institut Pendidikan Nusantara Global"/>
        <s v="Sekolah Tinggi Ilmu Ekonomi Satya Dharma"/>
        <s v="Universitas Airlangga"/>
        <s v="Universitas Flores"/>
        <s v="Universitas Halmahera"/>
        <s v="Universitas Nasional Pasim"/>
        <s v="Universitas Pamulang"/>
        <s v="Sekolah Tinggi Ilmu Kesehatan Audi Husada Medan"/>
        <s v="Sekolah Tinggi Ilmu Kesehatan William Booth"/>
        <s v="Politeknik Bosowa"/>
        <s v="Universitas Sulawesi Barat"/>
        <s v="Universitas Ngudi Waluyo"/>
        <s v="Sekolah Tinggi Ilmu Ekonomi Amkop_x000a_Makassar"/>
        <s v="Universitas Jenderal Achmad Yani Yogyakarta"/>
        <s v="STKIP Muhammadiyah Muara Bungo"/>
        <s v="Politeknik Negeri Ujung Pandang"/>
        <s v="Sekolah Tinggi Teknologi Pagaralam"/>
        <s v="Universitas Tomakaka"/>
        <s v="Universitas Gadjah Mada"/>
        <s v="Politeknik Aceh Selatan"/>
        <s v="Universitas Muhammadiyah_x000a_Sidenreng Rappang"/>
        <s v="Akademi Keperawatan Harapan Mama Deli Serdang"/>
        <s v="Universitas PGRI Palembang"/>
        <s v="Sekolah Tinggi Ilmu Ekonomi Sebelas April"/>
        <s v="Universitas Muhadi Setiabudi"/>
        <s v="IKIP Budi Utomo"/>
        <s v="Universitas_x000a_Muhammadiyah Yogyakarta"/>
        <s v="Akademi Kebidanan Palu Sulawesi Tengah"/>
        <s v="Universitas Islam 45"/>
        <s v="Universitas Muhammadiyah_x000a_Sumatera Utara"/>
        <s v="Universitas Bangka Belitung"/>
        <s v="Universitas Riau"/>
        <s v="Institut Ilmu Kesehatan Bhakti Wiyata Kediri"/>
        <s v="Institut  Teknologi Telkom Surabaya"/>
        <s v="Universitas Borneo Tarakan"/>
        <s v="STKIP Muhammadiyah Kotabumi"/>
        <s v="STKIP Muhammadiyah Enrekang"/>
        <s v="Universitas Megarezky"/>
        <s v="Universitas Muhammadiyah_x000a_Ponorogo"/>
        <s v="Universitas Nahdlatul Ulama Purwokerto"/>
        <s v="STKIP Adzkia"/>
        <s v="Universitas Musamus Merauke"/>
        <s v="Universitas Samudra"/>
        <s v="Universitas Jabal Ghafur"/>
        <s v="Universitas Surakarta"/>
        <s v="STKIP Pembangunan Indonesia"/>
        <s v="Universitas Sebelas Maret"/>
        <s v="Universitas Galuh"/>
        <s v="Universitas Teknokrat Indonesia"/>
        <s v="STKIP Al Hikmah Surabaya"/>
        <s v="Universitas Prisma"/>
        <s v="Universitas Merdeka Surabaya"/>
        <s v="Institut Keguruan dan Ilmu Pendidikan Siliwangi"/>
        <s v="STIKES Satria Bhakti Nganjuk"/>
        <s v="Universitas Madura"/>
        <s v="Universitas Islam Majapahit"/>
        <s v="Universitas Muhammadiyah Surakarta"/>
        <s v="Universitas Darussalam Ambon"/>
        <s v="Sekolah Tinggi Ilmu Kesehatan Baiturrahim"/>
        <s v="Universitas Bina Nusantara"/>
        <s v="Universitas Islam Madura"/>
        <s v="Universitas Indraprasta Pgri"/>
        <s v="Universitas Jenderal Soedirman"/>
        <s v="Universitas Janabadra"/>
        <s v="Politeknik Negeri Lampung"/>
        <s v="Universitas Bhayangkara Surabaya"/>
        <s v="Universitas Kristen Indonesia Paulus"/>
        <s v="Universitas Mahasaraswati Denpasar"/>
        <s v="Universitas Muhammadiyah Malang"/>
        <s v="Universitas Pasundan"/>
        <s v="Universitas Negeri Makassar"/>
        <s v="Universitas Negeri Gorontalo"/>
        <s v="Universitas Ahmad Dahlan"/>
        <s v="Universitas Negeri Malang"/>
        <s v="Universitas Riau Kepulauan"/>
        <s v="Universitas Udayana"/>
        <s v="Universitas Jember"/>
        <s v="Universitas Brawijaya"/>
        <s v="Universitas Malikussaleh"/>
        <s v="Universitas Muhammadiyah Makassar"/>
        <s v="Sekolah Tinggi Ilmu Ekonomi Atma Bhakti"/>
        <s v="Universitas Langlang Buana"/>
        <s v="Universitas Negeri Medan"/>
        <s v="Universitas Sam Ratulangi"/>
        <s v="Akademi Keperawatan Kesdam Ix/Udayana"/>
        <s v="Universitas Papua"/>
        <s v="Universitas Kristen Petra"/>
        <s v="Universitas Negeri Padang"/>
        <s v="Politeknik Negeri Manado"/>
        <s v="Universitas Muhammadiyah Kalimantan Timur"/>
        <s v="Politeknik Negeri Bali"/>
        <s v="Universitas Surabaya"/>
        <s v="Universitas Muslim Indonesia"/>
        <s v="Universitas Pendidikan Ganesha"/>
        <s v="Universitas 17 Agustus 1945 Banyuwangi"/>
        <s v="Universitas Bosowa"/>
        <s v="Universitas Respati Indonesia"/>
        <s v="Universitas Muslim Nusantara Al-Washliyah"/>
        <s v="Politeknik Negeri Semarang"/>
        <s v="Politeknik Pertanian Negeri Pangkajene Kepulauan"/>
        <s v="Universitas Muhammadiyah Purworejo"/>
        <s v="Universitas Fajar"/>
        <s v="Universitas Muhammadiyah Pontianak"/>
        <s v="Stmik Akakom"/>
        <s v="Universitas Kahuripan Kediri"/>
        <s v="Institut Pertanian Bogor"/>
        <s v="Universitas Hasanuddin"/>
        <s v="Universitas Putera Batam"/>
        <s v="Institut Pendidikan Tapanuli Selatan"/>
        <s v="Universitas Tanjungpura"/>
        <s v="Universitas Muhammadiyah Sidoarjo"/>
        <s v="Universitas Muhammadiyah Kendari"/>
        <s v="Politeknik Perikanan Negeri Tual"/>
        <s v="Universitas Muhammadiyah Surabaya"/>
        <s v="Universitas Tadulako"/>
        <s v="Universitas 17 Agustus 1945 Surabaya"/>
        <s v="Politeknik Negeri Batam"/>
        <s v="Stkip Pgri Banjarmasin"/>
        <s v="Universitas Abdurrab"/>
        <s v="Universitas Darussalam Gontor"/>
        <s v="Politeknik Negeri Kupang"/>
        <s v="Universitas Trisakti"/>
        <s v="Politeknik Negeri Sriwijaya"/>
        <s v="Politeknik Caltex"/>
        <s v="Universitas Aki"/>
        <s v="Universitas Darwan Ali"/>
        <s v="Universitas Muhammadiyah Riau"/>
        <s v="Universitas Esa Unggul"/>
        <s v="Universitas Pgri Madiun"/>
        <s v="Stkip Taman Siswa Bima"/>
        <s v="Universitas Lambung Mangkurat"/>
        <s v="Universitas Suryakancana"/>
        <s v="Politeknik Negeri Banyuwangi"/>
        <s v="Universitas Negeri Semarang"/>
      </sharedItems>
    </cacheField>
    <cacheField name="SKEMA" numFmtId="0">
      <sharedItems count="18">
        <s v="Penelitian Dosen Pemula"/>
        <s v="Penelitian Kerjasama Antar Perguruan Tinggi"/>
        <s v="Penelitian Tesis Magister"/>
        <s v="World Class Research"/>
        <s v="Penelitian Dasar Unggulan Perguruan Tinggi"/>
        <s v="Penelitian Pasca Doktor"/>
        <s v="Penelitian Terapan"/>
        <s v="Penelitian Disertasi Doktor"/>
        <s v="Penelitian Terapan Unggulan Perguruan Tinggi"/>
        <s v="PKM"/>
        <s v="PPUPIK"/>
        <s v="PKMS"/>
        <s v="PPDM"/>
        <s v="PPMUPT"/>
        <s v="PPPUD"/>
        <s v="PKW"/>
        <s v="KKN-PPM"/>
        <s v="PPK"/>
      </sharedItems>
    </cacheField>
    <cacheField name="NAMA PENGUSUL" numFmtId="0">
      <sharedItems/>
    </cacheField>
    <cacheField name="NAMA ANGGOTA 1" numFmtId="0">
      <sharedItems/>
    </cacheField>
    <cacheField name="NAMA ANGGOTA 2" numFmtId="0">
      <sharedItems/>
    </cacheField>
    <cacheField name="NIDN" numFmtId="0">
      <sharedItems/>
    </cacheField>
    <cacheField name="JUDUL" numFmtId="0">
      <sharedItems count="200">
        <s v="Analisis Cluster Dengan Complete Linkage Dan Ward’S Method Untuk Data Pelayanan "/>
        <s v="Analisis Pengaruh Npl. Nim. Ldr Terhadap Tingkat Profitabilitas Dan Return Saham"/>
        <s v="Model Matematika Epidemiologi Guillain-Barre Syndrome(Gbs) Dengan Tingkat Kejadi"/>
        <s v="Pembuatan Sensor Suhu Semen Sapi Cu/Ni Dengan Metode Elektroplating Berbantuan M"/>
        <s v="Pola Komunikasi Dan Adaptasi Budaya Mahasiswa Asing Di Universitas Prima Indones"/>
        <s v="Pemanfaatan Cangkang Tiram Di Daerah Krueng Neng,_x000a_Aceh Besar Sebagai Pengganti S"/>
        <s v="Konsep Pengembangan Kebun Raya Balikpapan Sebagai_x000a_Destinasi Wisata Alam Unggulan"/>
        <s v="Telaah Sifat Mekanik Dan Morfologi Dari Struktur Ringan_x000a_Yang Difabrikasi Dengan "/>
        <s v="Komposit Serbuk Kayu, Serat Kelapa Dan Cangkang Kerang Hijau Untuk Bahan Kampas "/>
        <s v="Efektivitas Penerapan Tanggungjawab Sosial Perusahaan Pada Pt. Bank Rakyat Indon"/>
        <s v="Hubungan  Kecanduan Bermain Game_x000a_Online Dengan Stres Akademik Siswa Smp Di Banda"/>
        <s v="Respon Pengguna Dalam Memanfaatkan Jembatan_x000a_Penyebrangan Orang (Jpo) Di Kota Pek"/>
        <s v="Model Komunikasi Alternatif Dengan Teknologi Manet (Mobile Ad-Hoc Network)_x000a_Untuk"/>
        <s v="Virgin Coconut Oil Soap Pencegah Infeksi Candidiasis Vaginalis"/>
        <s v="Pengaruh Suplementasi Omega 3 (Epa+Dha) Dan Konsumsi Ikan Terhadap Kadar Gula Da"/>
        <s v="Analisis Kompetensi Keuangan Terhadap Kinerja Umkm Serta Keungulan Bersaing Bagi"/>
        <s v="Factors Of Students Silence In Speaking (A Descriptive Study Of Eleventh Grade S"/>
        <s v="Analisis Implementasi Prinsip-Prinsip Ekowisata Oleh Pelaku Usaha Pariwisata_x000a_Di "/>
        <s v="Rancang Bangun Inkubator Bayi Dengan Kontrol Temperatur Menggunakan Metode Pid D"/>
        <s v="Pengembangan Buku Ajar Berbasis Augmented Reality (Bubar) Dengan Pendekatan Smar"/>
        <s v="Pengaruh Self Leadership Training Dan Transformational Leadership Training Terha"/>
        <s v="Kajian Ekologi Sastra Dalam Novel-Novel Bersetting Di Kalimantan Selatan"/>
        <s v="Efektivitas Pupuk Kompos Gulma Siam (Cromolaena_x000a_Odorata L.) Terhadap Tanaman Sel"/>
        <s v="Birokrasi Di Era Digitalisasi (Studi Kasus Penerapan E- Government Berbasis Web "/>
        <s v="Studi Genomik Pada Virus Mematikan Berbasis Komputasi Tingkat Lanjut Menggunakan"/>
        <s v="Peningkatan Kreatifitas Dan Minat Belajar Siswa Pada Mata_x000a_Pelajaran Bahasa Inggr"/>
        <s v="Pembelajaran Ekonomi Islam Melalui Living Laboratory Koperasi Sekolah Di Sma Dan"/>
        <s v="Ekoptaologi Ceratocystis Wilt Pada Tanaman Agroforestry Di Sumatera Selatan"/>
        <s v="Organogenesis Dan Regenerasi Beberapa Pisang Lokal Asal Kalimantan Timur (Musa P"/>
        <s v="Sistem Konversi Energi Listrik Sebagai Energi Alternatif Untuk Kebutuhan_x000a_Rumah T"/>
        <s v="Gaya Hidup Penderita, Sikap Dan Perilaku Keluarga Dengan Kualitas Hidup Penderit"/>
        <s v="Pengaruh Kepemilikan Konsentrasi, Kualitas Corporate Governance Dan Other Compre"/>
        <s v="Kajian Stabilitas Fisik Dan Kimia Salep Basis Larut Air Dan Krim Minyak Atsiri B"/>
        <s v="Analisis Pengaruh Lingkungan Terhadap Pola Berpacaran_x000a_Pada Remaja Di Wilayah Kec"/>
        <s v="Improving Students' Honesty Behavior Through English Subject"/>
        <s v="Ideologi Visual Kartun Politik Koran_x000a_Jawa Pos Tahun 2019"/>
        <s v="Korelasi Debit Kali Surabaya Dengan Parameter Kualitas Air_x000a_Memakai Structural Eq"/>
        <s v="Produksi Kopi Luwak Berbasis In-Vitro Melalui Teknik Selective Enrichment Dengan"/>
        <s v="Pengembangan Modul Belajar Mata Pelajaran Ekonomi Berbasis Mind Mapping Untuk Me"/>
        <s v="Analisis Perilaku Swamedikasi Analgetik Di Apotek Kabupaten Cirebon"/>
        <s v="Pemetaan Tingkat Bahaya Bencana Longsor Dan Sistim_x000a_Perencanaan Tata Letak Bangun"/>
        <s v="Eksplorasi Dan Karakterisasi Rizobakteri Indegenus Asal Tanaman Jahe Merah (Zing"/>
        <s v="Pemodelan Jaringan Kohonen Untuk Pengenalan Nama Asteroid"/>
        <s v="Produksi Bioadsorben Dari Limbah Biomassa Untuk Proses Pemurnian Crude_x000a_Palm Oil"/>
        <s v="Migrasi Tenaga Kerja Informal:_x000a_Studi Pada Kecamatan Sukorejo Kabupaten Pasuruan"/>
        <s v="Pengembangan Perangkat Pembelajaran Model Make A Match Berbasis Karakter Anti Ko"/>
        <s v="Komunikasi Antar Budaya (Fenomenologi Komunikasi Masyarakat Suku Bugis Dan Suku "/>
        <s v="Integrasi  Model Kinerja Non Keuangan Berbasis Budaya Lokal Dengan  Kinerja Keua"/>
        <s v="Sistem Pakar Diagnosis Penyakit Tanaman Karet Mengunakan Metode Depth First Sear"/>
        <s v="Model Pengembangan Pembelajaran Bahasa Inggris Berspektif Karakter Dan_x000a_Akidah Ta"/>
        <s v="Implementasi Islamic Social Capital Terhadap Peningkatan Kesejahteraan Petani Pa"/>
        <s v="Study Kohort Pola Konsumsi Ibu Hamil Trimester Iii Terhadap Panjang Badan Dan Be"/>
        <s v="Pengaruh Latihan Progressive Muscle Relaxation Dan Autogenic Training Terhadap H"/>
        <s v="Efektifitas Pengembangan Pangan Soybean Dan Buah Naga Merah Sebagai Minuman Seha"/>
        <s v="Optimalisasi Kinerja Pemerintah Desa Dalam Penggunaan Infrastruktur Water Closet"/>
        <s v="Integrasi Profil Molekular Metabolik Berbasis Pendekatan Aktivasi Jalur S100A4/E"/>
        <s v="Peningkatan Kecepatan Tumbuh Benih Tanaman Biji_x000a_Melalui Stimulasi Fisik Non Ther"/>
        <s v="Pengaruh Lingkungan Kerja Dan Kompensasi Terhadap Kinerja Pegawai Pada Dinas Pen"/>
        <s v="Pengembangan Perangkat Pembelajaran Berbasis Problem Based Learning (Pbl) Untuk "/>
        <s v="Ketepatan Pemberian Opini Audit Oleh Akuntan Publik Dan Faktor-Faktor Yang Mempe"/>
        <s v="Pemodelan Teknik Alternatif Oleh Akuntan Dan Aktuaris Terhadap Model Pembayaran "/>
        <s v="Pembentukan Jaringan Granulasi Pada Luka Bakar Tikus Yang Diinduksi Aloksan Meng"/>
        <s v="Implementasi Motivasi Dan Beban Kerja Dalam Peningkatan Kinerja Karyawan Melalui"/>
        <s v="Pemodelan Arsitektur Mobile Commerce Usaha Mikro Menggunakan Enterprise Architec"/>
        <s v="Analisis Rainbow Local Antimagic Coloring Melalui Penerapan Problem Based Learni"/>
        <s v="Pemanfaatan Teknik Kemometri Untuk Identifikasi Berbagai_x000a_Campuran Minyak"/>
        <s v="Efek Sediaan Topikal Kombinasi Cinnamon_x000a_Oil(Cinnamomum Zeylanicum)  Dan Sirih Me"/>
        <s v="Hubungan Interprofessional_x000a_Collaboration Dengan Kejadian Burnout Perawat Di Ruma"/>
        <s v="Coping Stress Orang Banjar Dengan Mahalabiu"/>
        <s v="Pengembangan Aplikasi Untuk Deteksi Dini Hiperbilirubinemia Pada Bayi Baru Lahir"/>
        <s v="Strategi  Pemberdayakan Ekonomi Dan Pendidikan  Masyarakat Pesisir Melalui Progr"/>
        <s v="Pengaruh Orientasi Pasar Dan Inovasi Terhadap Keunggulan Bersaing (Studi Pada St"/>
        <s v="Isolasi Dan Identifikasi Senyawa Metobolit Sekunder Dari Streptomyces Yang Diiso"/>
        <s v="Pengujian Aktivitas Anti Tuberculosis Secara In Vitro, Skrining Fitokimia, Dan S"/>
        <s v="Boom Tari Tradisi Menjadi Kearifan Lokal &quot; Tari Turonggo Yakso&quot;"/>
        <s v="Persepsi Harmoni Dan Relasi Sosial Dalam Berbagai Ungkapan Tradisional Kelompok "/>
        <s v="Eksplorasi Jus Rumput Laut Coklat (Sargassum Sp) Sebagai_x000a_Pangan Fungsional Berak"/>
        <s v="Revitalisasi Community Based Health Care Intervention Untuk Memperkuat Tata Kelo"/>
        <s v="Model Manajemen Dana Keistimewaan Untuk Peningkatan Kualitas Layanan Masyarakat_x000a_"/>
        <s v="Strategi Peningkatan Efisiensi Protein Mikroba Dan Mitigasi Gas Methan Untuk Men"/>
        <s v="Kecenderungan Kecurangan Akuntansi Pada Perusahaan"/>
        <s v="Prediksi Ketepatan Masa Studi Mahasiswa Universitas Surakarta Menggunakan Algori"/>
        <s v="Hubungan Parameter Biokimia Darah Terhadap Bioaktifitas_x000a_Antidiabetes Senyawa Alf"/>
        <s v="Analisis Penerapan Imbalan Paska Kerja Karyawan Pada Yayasan Pendidikan Bhakti P"/>
        <s v="Ekstraksi Silikon Oksida Dari Biomassa Alang-Alang"/>
        <s v="Pengaruh Product Image Ukm Provinsi Jawa Timur Terhadap Keputusan Pembelian Prod"/>
        <s v="Kajian Niat Mahasiswa Prodi Manajemen Dan Akuntansi Semester Viii Universitas Mu"/>
        <s v="Analisa Tingkat Efektivitas Rumah Sakit Umum Daerah Sebagai Badan Layanan Umum D"/>
        <s v="Strategi Guru Dalam Mengatasi Kesulitan Belajar Siswa Pada Mata Pelajaran Bahasa"/>
        <s v="Analisis Pengaruh Self-Efficacy Dan Lingkungan Kerja Terhadap Kepuasan Kerja Per"/>
        <s v="Peranan Pemerintahan Desa Dalam Pengendalian Dan Pengelolaan_x000a_Lingkungan Hidup Pe"/>
        <s v="Ekspresi Budaya Dalam Tuturan Bahasa Madura Dan Bahasa Indonesia Pada Siswa_x000a_Sd/M"/>
        <s v="Perlindungan Hak Konstitusional Masyarakat Hukum Adat Dalam Pengelolaan Hutan Ad"/>
        <s v="Pengembangan Metoda Kultur Jaringan Pada Tanaman_x000a_Sorghum Melalui Somatik Embriog"/>
        <s v="Studi Fenomenologi:  Analisis Keterampilan Dukun &quot;Urut Tuka&quot; Dalam Pemilihan Duk"/>
        <s v="Metode E-Smart Reminder Untuk Pasien Prolanis"/>
        <s v="Pengaruh Caring Based Training Perawat Terhadap Kepuasan Pasien Dalam Pelayanan "/>
        <s v="Pembuatan Prototipe Simulasi Pergeseran Tanah Sebagai Media Uji Coba Sensor Lvdt"/>
        <s v="Inovasi Kaldu Bubuk Nabati Tempe Semangit Kacang Hijau Berdasarkan Waktu Ferment"/>
        <s v="Preparing Pre-Service English Teachers For 2013_x000a_Curriculum By Integrating Authen"/>
        <s v="PPPUD Kerajinan Tenun Sutera Sengkang Di Kabupaten Wajo"/>
        <s v="PKM Industri Rumah Tangga Terasi Rebon Di Desa Ketapang, Kecamatan Kademangan,  "/>
        <s v="Conversational Pocket Meningkatkan Keterampilan Bahasa Inggris Bagi Perawat Dan "/>
        <s v="Pengembangan Ekonomi Industri Masyarakat Berbasis Agro Techno Park (Atp) Di Desa"/>
        <s v="Pengembangan Teknologi Tepat Guna Dalam Peningkatan Manajemen Produksi Virgin Co"/>
        <s v="Pengolahan Limbah Asap Hasil Pembakaran Arang Batok Kelapa Menjadi Liquid Smoke "/>
        <s v="PKM Pembangkit Listrik Tenaga Hybrid Bagi Masyarakat Desa Sabiyan Kabupaten Bang"/>
        <s v="PKM Pemberdayaan Anak Yatim Melalui Ketrampilan Pembuatan Rak Piring Aluminium D"/>
        <s v="Program Pengembangan Desa Begaganlimo, Kecamatan Gondang, Kabupaten  Mojokerto."/>
        <s v="Pemberdayaan Masyarakat Melalui Sinergi Kaum Milenial Demi Pelestarian Budaya Lo"/>
        <s v="PKM  Penerapan Teknologi Sanitasi Lingkungan Pada Kelompok Masyarakat Berpenghas"/>
        <s v="Program Pengembangan Produk Unggulan Daerah (PPPUD)  Bandeng Cabut Duri Di Kabup"/>
        <s v="KKN-PPM Entrepreneurship Desa Bulucenranakecamatan Pituriawa Kabupaten Sidrap"/>
        <s v="PPPUD Desa Sentra Kerajinan Mainan Anak Tradisional Di Karanganyar, Welahan, Jep"/>
        <s v="PPDM Wisata Alam Dan Budaya Berbasis Masyarakat Di Desa Sanrobone, Kecamatan San"/>
        <s v="PKW Pemberdayaan Masyarakat Pesisir Dalam Pengembangan Wisata Minat Khusus Dan P"/>
        <s v="Percontohan Alternatif Pengelolaan Limbah Pabrik Tepung Tapioka Berbasis Teknolo"/>
        <s v="KKN-PPM-Pemberdayaan Masyarakat Berbasis Ekonomi Kreatif Melalui Pembuatan  Bank"/>
        <s v="PPUPIK Pusat Produksi Dan Pelatihan Media Pembelajaran Sejarah"/>
        <s v="PKM Paud Danica Kids School Tamalanrea Makassar"/>
        <s v="Peningkatan Nilai Ekonomis Usaha Terasi Melalui Diversifikasi Produk Sebagai Pro"/>
        <s v="PKM Peningkatan Pemberdayaan Produsen Tempe &quot;Aulia&quot; Di Sleman Melalui Penerapan "/>
        <s v="Kampung Bambu Alu : Sentra Ekowisata Berbasis Budidaya Dan Kerajinan Bambu"/>
        <s v="PKM Peningkatan Kualitas Produk, Pengemasan, Dan Pemasaran Umkm Mi Pangsit Di Ke"/>
        <s v="PPDM Di Desa Ketewel Sebagai Desa Usada"/>
        <s v="PKM Paud Sehat Cerdas Ceria Di Desa Kintamani Kecamatan Kintamani Kabupaten Bang"/>
        <s v="Penyediaan Air Bagi Masyarakat Pesisir Terdampak Kekeringan Dengan Desalinasi Ai"/>
        <s v="Pppe Kerajinan Uang Kepeng Di Klungkung-Bali"/>
        <s v="Pengembangan Kewirausahaan (PPK) Di Stkip Muhammadiyah Palopo"/>
        <s v="PPDM Desa Sentra Produksi  Minyak Nilam Dengan Integrasi Budidaya Dan Teknologi "/>
        <s v="PKM Perbaikan Usaha Masyarakat Melalui Kegiatan Budidaya Ikan Nila Dikolam Terva"/>
        <s v="Regenerasi Dan Pemberdayaan Petani Kopi Robusta Dalam Upaya Value Added Di Desa "/>
        <s v="Pengembangan Kewirausahaan (PPK) Di  Fakultas Keguruan Dan Ilmu Pendidikan Unive"/>
        <s v="Pemberdayaan Guru Biologi Se Kabupaten Bogor Untuk Meningkatkan Budaya Menulis A"/>
        <s v="Program Pengembangan Desa Mitra (PPDM) Desa Wisata Mandiri Energi Di Desa Gedang"/>
        <s v="PKM: Penerapan Rolls Hydraulic Bending Machine Pada Ikm Industri Logam Di Desa T"/>
        <s v="Peningkatan Keterampilan, Inovasi Dan Perencanaan Bisnis Kelompok Umk Melalui Pe"/>
        <s v="Pemberdayaan Usaha Kerajinan Batik Di Sragen Jawa Tengah"/>
        <s v="PKM Jamur Tiram Desa Betao Kabupaten Sidrap"/>
        <s v="Penguatan Daya Saing Usaha Kecil  Oleh-Oleh Khas Bogor (Okb) Untuk  Revitalisasi"/>
        <s v="Pembinaan Pemandu Wisata Berbahasa Inggris, Pengajaran Tari Dan Tata Rias Bali D"/>
        <s v="PKM Peningkatan Kapabilitas Proses Dan Kualitas Produk Olahan Aneka Sayuran (Ker"/>
        <s v="PKM Satgas Remaja  Anti Narkoba (Saran) Di Wilayah Kerja Puskesmas Limo, Kota De"/>
        <s v="PPUPIK Pembangkit Listrik Tenaga Surya"/>
        <s v="PPDM Desa Wisata Berbasis Lingkungan Di Desa Duyung, Kecamatan Trawas, Mojokerto"/>
        <s v="Budidaya Jabon Merah Kelompok Tani Hutan Maju Makmur"/>
        <s v="PKM Pengolahan Telur Di Kelurahan Paria Kecamatan Majauleg Kabupaten Wao  Sulawe"/>
        <s v="Pusat Inkubator Budidaya Jamur Tiram (Pleurotus Ostreatus), Berbasis Mikro-Biote"/>
        <s v="PKW Minapolitan Guna Mewujudkan Swasembada Pangan Ikan Di Kabupaten Konawe Utara"/>
        <s v="Program Kemitraan Wilayah (PKW) Kota Bekasi"/>
        <s v="PKMS Kelompok Ibu - Ibu Orang Tua Siswa Kelas 1 Dan 2 Sd Ar Rasyid Tanjung Selam"/>
        <s v="Pengelolaan Tanah Wakaf Untuk Pcm Turi Yang Produktif Dan Berkemajuan"/>
        <s v="Melahirkan Jiwa Kewirausahaan Mahasiswa Secara Berkelanjutan"/>
        <s v="PKW Agroforestry Kreatif Berkelanjutan Di Kecamatan Napabalano, Kabupaten Muna"/>
        <s v="Program Kemitraan Masyarakat Pengrajin Lampu Hias Beraroma Terapi Di Desa Ketega"/>
        <s v="Peningkatan Kompetensi Profesional Guru Fisika Vokasi Di Kabupaten Garut Melalui"/>
        <s v="Penerapan Mesin Tenun Mendong Berbasis Smart System Pada Umkn Pengrajin Mendong "/>
        <s v="PKMS Peningkatan Produktivitas  Irt Kelompok Budidaya Bebek Desa Sei Mencirim Ka"/>
        <s v="Pengembangan Budidaya Jambu Merah Getas Berbasis Teknologi Tepat Guna Di Kecamat"/>
        <s v="Pengembangan  Inkubator  Bisnis  Wirausaha  Muda Universitas  Pgri Palangka  Ray"/>
        <s v="Desa Sentra Perbibitan Sapi Rakyat"/>
        <s v="PKM Pengentasan Kemiskinan Melalui Social Preneur Bagi Ibu-Ibu Penerima Bantuan "/>
        <s v="Pemanfaatan Kincir Angin Untuk Peningkatan Pendapatan Dan Penguatan Kapasitas Ke"/>
        <s v="Peningkatan Profit Petani Ikan Lele Melalui Aplikasi Teknologi Pemijahan Buatan "/>
        <s v="Pendampingan Ekonomi Kreatif Bagi Koperasi Paguyuban Karyawan (Pakar)  Dekabe Ja"/>
        <s v="PKM Pemberdayaan Dan Peningkatan Kapasitas Kelompok Masyarakat Lintas Komunitas "/>
        <s v="Implementasi Website Dan Chatbot Sebagai Sarana Pemasaran Untuk Meningkatkan Oms"/>
        <s v="PPDM Unggas Berbasis Teknologi Tepat Guna Ramah Lingkungan Kabupaten Sidrap"/>
        <s v="PKM Usaha Pakan Ikan Di Desa Sungai Duren, Kecamatan Jambi Luar Kota, Kabupaten "/>
        <s v="Implementasi Drone 3D Mapping Untuk Rekonstruksi Dan Mitigasi Bangunan Cagar Bud"/>
        <s v="PPPUD Manggis Untuk Ekspor Di Kecamatan Pupuan Kabupaten Tabanan, Bali"/>
        <s v="Peningkatan Unit Bisnis Usaha Mikro Kecil Menengah (Umkm) “Karang Tumaritis” Unt"/>
        <s v="Peningkatan Pendapatan Paguyuban Warung Kuliner  “Mina Bahari 45” Melalui  Pengo"/>
        <s v="Pemasaran Multi Produk Berbahan Dasar Susu Kerbau Rawa (Puan) Pampangan Ogan Kom"/>
        <s v="PKW Di Kecamatan Banda Sakti Kota Lhokseumawe"/>
        <s v="PKMS Aplikasi Iptek Potensi Laut Alga Cokelat (Sargassum Sp) Sebagai Pengawet  A"/>
        <s v="Penerapan Teknologi Mikropartikel Susu Probiotik Untuk Pengembangan Dan Peningka"/>
        <s v="PPDM  E-Desa Rimba Makmur Kecamatan Tapung Hulu Kabupaten Kampar Provinsi Riau"/>
        <s v="Inovasi Teknologi Recirculation Aquaculture System - Acclimation Treatment (Ras "/>
        <s v="Produktivitas Dan Pengelolaan Badan Usaha Milik Gampong (Bumg) Banna Desa Paya P"/>
        <s v="Penguatan Desa Wisata Berbasis Kampung Iklim: Panen Dan Pemanfaatan Air Hujan Un"/>
        <s v="PKM Produsen Tahu Kuring Makassar, Di Kabupaten Sungguminasa Gowa, Sulawesi Sela"/>
        <s v="Pendampingan Pembelajaran Ekstrakurikuler Bahasa Inggris Siswa Dalam Menghadapi "/>
        <s v="Pengembangan Umkm Ikan Patin Asap &quot;Putra Niaga&quot; Di Desa Lubuk Agung, Kabupaten K"/>
        <s v="PKM Kelompok Usaha Ibu Rumah Tangga Kelurahan Lakarsantri Kota Surabaya"/>
        <s v="PKM Kelompok Penderita Cacat Netra Di Kota Malang"/>
        <s v="Ipteks Pengolahan Lindi Menjadi Pupuk Cair Di Tps-3R Kelurahan Talang Kelapa Kec"/>
        <s v="PPDM Desa Ranu Pakis Kecamatan Klakah Kabupaten Lumajang Sebagai Desa Sentra Pro"/>
        <s v="Pemberdayaan Masyarakat Dalam Pengolahan Limbah Organik Dan Anorganik Di Desa Pa"/>
        <s v="PPPUD Pengelolaan Susu Sapi Segar Di Kabupaten Boyolali,  Jawa Tengah"/>
        <s v="Aplikasi Teknologi Pengawet Alami Atung Pada Penanganan Produksi Tuna Loin Dan O"/>
        <s v="Pppe Industri Kreatif Batik Untuk Usaha Kecil Menengah Di Kota Yogyakarta Dan Kl"/>
        <s v="PKM Pemanfaatan Kotoran Kelinci Pada Kelompok Tani Ternak Di Kawasan Wisata Desa"/>
        <s v="PKM: Pendampingan Kelompok Pkk Pemantauan Dan Penanggulangan Stunting Di Desa Je"/>
        <s v="Program Pengembangan Dusun Nawangan Desa Tawangrejo Kecamatan Jatirejo Kab. Mojo"/>
        <s v="PPDM Optimalisasi Seribu Hari Pertama Kehidupan Di Desa Balongtani Jabon Sidoarj"/>
        <s v="Desa Baseh, Desa Wisata Yang Sehat"/>
        <s v="Ppud Pengembangan Geowisata Berwawasan Edukasi Dan Kearifan Lokal Di Desa Gentan"/>
        <s v="PKMS Peningkatan Produksi Asi Pada Ibu Hamil"/>
        <s v="PKM Petani Lahan Terasering Di Kabupaten Sinjai"/>
      </sharedItems>
    </cacheField>
    <cacheField name="DURASI PENELITIAN (TAHUN)" numFmtId="1">
      <sharedItems containsMixedTypes="1" containsNumber="1" containsInteger="1" minValue="1" maxValue="3"/>
    </cacheField>
    <cacheField name="STATUS USULAN" numFmtId="0">
      <sharedItems count="3">
        <s v="Lanjutan"/>
        <s v="Baru"/>
        <s v="-"/>
      </sharedItems>
    </cacheField>
    <cacheField name="TAHUN" numFmtId="0">
      <sharedItems containsSemiMixedTypes="0" containsString="0" containsNumber="1" containsInteger="1" minValue="2017" maxValue="2020" count="4">
        <n v="2017"/>
        <n v="2018"/>
        <n v="2019"/>
        <n v="2020"/>
      </sharedItems>
    </cacheField>
    <cacheField name="PENDANAAN BIAYA" numFmtId="164">
      <sharedItems containsSemiMixedTypes="0" containsString="0" containsNumber="1" containsInteger="1" minValue="50000000" maxValue="75000000"/>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3914.376107986114" createdVersion="5" refreshedVersion="5" minRefreshableVersion="3" recordCount="600">
  <cacheSource type="worksheet">
    <worksheetSource name="DAtaDosen"/>
  </cacheSource>
  <cacheFields count="4">
    <cacheField name="Jenis" numFmtId="0">
      <sharedItems count="2">
        <s v="Penelitian"/>
        <s v="Pengabdian Masyarakat"/>
      </sharedItems>
    </cacheField>
    <cacheField name="SKEMA" numFmtId="0">
      <sharedItems count="18">
        <s v="Penelitian Dosen Pemula"/>
        <s v="Penelitian Kerjasama Antar Perguruan Tinggi"/>
        <s v="Penelitian Tesis Magister"/>
        <s v="World Class Research"/>
        <s v="Penelitian Dasar Unggulan Perguruan Tinggi"/>
        <s v="Penelitian Pasca Doktor"/>
        <s v="Penelitian Terapan"/>
        <s v="Penelitian Disertasi Doktor"/>
        <s v="Penelitian Terapan Unggulan Perguruan Tinggi"/>
        <s v="PKM"/>
        <s v="PPUPIK"/>
        <s v="PKMS"/>
        <s v="PPDM"/>
        <s v="PPMUPT"/>
        <s v="PPPUD"/>
        <s v="PKW"/>
        <s v="KKN-PPM"/>
        <s v="PPK"/>
      </sharedItems>
    </cacheField>
    <cacheField name="TAHUN" numFmtId="0">
      <sharedItems containsSemiMixedTypes="0" containsString="0" containsNumber="1" containsInteger="1" minValue="2017" maxValue="2020" count="4">
        <n v="2017"/>
        <n v="2018"/>
        <n v="2019"/>
        <n v="2020"/>
      </sharedItems>
    </cacheField>
    <cacheField name="NAMA" numFmtId="0">
      <sharedItems count="226">
        <s v="Ketut Putra Sedana"/>
        <s v="Yustina Rada"/>
        <s v="Lucien Pahala Sitanggang"/>
        <s v="Sri Wahyuni"/>
        <s v="Yeldi S. Adel"/>
        <s v="Shafitranata"/>
        <s v="Widati Amalin Ulfah"/>
        <s v="Tarmizi"/>
        <s v="Syaiful Pakaya, Se.,Mm"/>
        <s v="Tory Ariyanto"/>
        <s v="Dwi Desmiyeni_x000a_Putri"/>
        <s v="Faisal Amri Tanjung"/>
        <s v="Evi Zubaidah"/>
        <s v="Azir Alfanan"/>
        <s v="Lia Natalia"/>
        <s v="Dadan Rosana"/>
        <s v="Zurriat Nyndia Rahmawati"/>
        <s v="Feliatra"/>
        <s v="Berlintina Permatasari"/>
        <s v="Dian Kusuma Wardani"/>
        <s v="Ahmad Yusuf"/>
        <s v="Dwita Suastiyanti"/>
        <s v="Brigitta Ayu Dwi Susanti"/>
        <s v="Sukriming Sapareng"/>
        <s v="Septiani"/>
        <s v="Irma Manda Negara"/>
        <s v="Ratna Kumala Dewi"/>
        <s v="Sirwan"/>
        <s v="Nyoman Ayu Putri Lestari"/>
        <s v="Maimuna Nontji"/>
        <s v="Hasnita"/>
        <s v="Novi Irwan Fauzi"/>
        <s v="Nur Asmi"/>
        <s v="Besly Yermy Tungaoly_x000a_Messakh"/>
        <s v="Atikah Mumpuni"/>
        <s v="Taufikkurrachm An"/>
        <s v="Andicha Gustra Jeki"/>
        <s v="Suharti"/>
        <s v="Muhammad Duddy Satrianugraha_x000a_Wahidin"/>
        <s v="Estu Handayani"/>
        <s v="Debby Willar"/>
        <s v="Y Y Fransciscus Regis Sunarjan"/>
        <s v="I Gusti Ayu Agung Sinta_x000a_Diarini"/>
        <s v="Ferry Hadary"/>
        <s v="Denny Eko Wibowo"/>
        <s v="Nur Kur'Ani"/>
        <s v="Andi Aminah"/>
        <s v="Henni Gusfa"/>
        <s v="Mukhyiddin"/>
        <s v="Dewi Wahyuni"/>
        <s v="Rahmi Mudia Alti"/>
        <s v="Agustinur"/>
        <s v="Hary Saputra Sundoro"/>
        <s v="Sheila Hani"/>
        <s v="Yessy Prima Putri"/>
        <s v="Suyadi"/>
        <s v="Mujiati La Saadi"/>
        <s v="Putriyani S"/>
        <s v="Arief Budi Wicaksono"/>
        <s v="Rakhmat Syaiful_x000a_Ramadhani"/>
        <s v="Fx Nanang Sujatmiko"/>
        <s v="Imam Prasetyo"/>
        <s v="Agus Wijayanto"/>
        <s v="Oktavina Kartika Putri"/>
        <s v="Nurma Yunita Indriyanti"/>
        <s v="Yohannes Firzal"/>
        <s v="I Putu Astawa"/>
        <s v="Ahmad Taufiq"/>
        <s v="Hilda Sulistia Alam"/>
        <s v="Nengke Puspita Sari"/>
        <s v="Enny Zarvianti"/>
        <s v="Krisna Yuwono Fora"/>
        <s v="Fadhil Ilhamsyah"/>
        <s v="Resti Yulistria"/>
        <s v="Abdul Aziz"/>
        <s v="Hadijah Azis Karim"/>
        <s v="Miftachul Taubah"/>
        <s v="Septina Severina Lumbantobing"/>
        <s v="Andi Masniati"/>
        <s v="Agustina M"/>
        <s v="Kundharu Saddhono"/>
        <s v="Eddy Agus Muharyanto"/>
        <s v="Verry Aji Kurniawan"/>
        <s v="Tri Arso"/>
        <s v="Meita Rumbayan"/>
        <s v="Basri"/>
        <s v="Arfidian Rachman"/>
        <s v="Jelita Panjaitan"/>
        <s v="Irwan Ismail"/>
        <s v="Retno Wahyuni"/>
        <s v="Subuh Anggoro"/>
        <s v="Pujiono"/>
        <s v="Feni Kurnia"/>
        <s v="Hanifah Ekawati Sibali"/>
        <s v="Wiwik Sulistiyowati"/>
        <s v="Azizil Fikri"/>
        <s v="Hartati Ramli"/>
        <s v="Ria Kasanova"/>
        <s v="Fansuri Munawar"/>
        <s v="Shinta Wahyu Hati"/>
        <s v="Mey Risa"/>
        <s v="Sitti Hadijah"/>
        <s v="Indah Yulia Ningsih"/>
        <s v="Ratni Primalita"/>
        <s v="Farman"/>
        <s v="Arsy Aysyah Anas"/>
        <s v="Wilda Fasim Br Hasibuan"/>
        <s v="Sunyoto"/>
        <s v="Ahmad Farhan"/>
        <s v="Henderina J Keiluhu"/>
        <s v="Arwizet K"/>
        <s v="Sisilia Florina Yanti"/>
        <s v="Mohammad Saifur Rohman"/>
        <s v="Syair"/>
        <s v="Dewa Ketut Meles"/>
        <s v="Rosdanelli Hasibuan"/>
        <s v="Muliyadi"/>
        <s v="Rila Setyaningsih"/>
        <s v="Mochamad Arif Zainul Fuad"/>
        <s v="Nurlina"/>
        <s v="Taufik Hidayat B"/>
        <s v="Karyo Budi Utomo"/>
        <s v="Syahminan"/>
        <s v="Slamet Subiyantoro"/>
        <s v="Sri Yona"/>
        <s v="Hendra Yufit Riskiawan"/>
        <s v="I Made Ardana Putra"/>
        <s v="Kahar Muzakhar"/>
        <s v="Santi P.T. Rahantoknam"/>
        <s v="Nurwiyanta"/>
        <s v="Umi Purwandari"/>
        <s v="Atik Widiyanti"/>
        <s v="Tri Astuti"/>
        <s v="Wahyu Mushollaeni"/>
        <s v="Alfonds Andrew Maramis"/>
        <s v="Tri Prasetyo Utomo"/>
        <s v="Rahmatya Widyaswati"/>
        <s v="Mahendra"/>
        <s v="Dahlia Dahlima Moelier"/>
        <s v="Nuriyati Samatan"/>
        <s v="Yuni Aryani Koedoes"/>
        <s v="Agus Syam"/>
        <s v="Indra Mawardi"/>
        <s v="Sri Fatmah Sari"/>
        <s v="Ngatirah"/>
        <s v="Fitriani Ningsih"/>
        <s v="Saronom Silaban"/>
        <s v="Marzuki"/>
        <s v="Rosida Vivin Nahari"/>
        <s v="Iwan Perwira"/>
        <s v="Seri Suriani"/>
        <s v="Ali Sofwan"/>
        <s v="Elkawakib Syamun"/>
        <s v="Riska Nurtantyo Sarbini"/>
        <s v="Badaruddin Anwar"/>
        <s v="Kasron"/>
        <s v="Rokhana Dwi Bekti"/>
        <s v="Yustina Lina Dina Wambrauw"/>
        <s v="Rulinawaty"/>
        <s v="Isrojaty Johanes Paransa"/>
        <s v="Edwin Leonardo Apolonio Ngangi"/>
        <s v="Bakir"/>
        <s v="Ronny Hasudungan Purba"/>
        <s v="Maya Weka Santi"/>
        <s v="Asmidar"/>
        <s v="Jusuf Haurissa"/>
        <s v="Dermawan Waruwu"/>
        <s v="Jane Melita Keliat"/>
        <s v="Muhlis Ruslan"/>
        <s v="Cahyana Nursidiq"/>
        <s v="Widarto"/>
        <s v="Ratna Dewi"/>
        <s v="Ahsan Mardjudo"/>
        <s v="Nita Kusumawati"/>
        <s v="Rohmana"/>
        <s v="Julinda Romauli Manullang"/>
        <s v="Ni Luh Adisti Abiyoga Wulandari"/>
        <s v="Mukhlis"/>
        <s v="Wiyono"/>
        <s v="Devi Mulia Sari"/>
        <s v="Bambang Sugiantoro"/>
        <s v="Rahayu Retnaningsih"/>
        <s v="I Wayan Windia"/>
        <s v="Bagus Putu Wahyu Nirmala"/>
        <s v="David Samiyono"/>
        <s v="Asgar Taiyeb"/>
        <s v="Haris Mahmud"/>
        <s v="Faiza Rini"/>
        <s v="Ni Nyoman Sri Astuti"/>
        <s v="Susanti Sundari"/>
        <s v="Rucitra Widyasari"/>
        <s v="Ahmad Kholil"/>
        <s v="Noor Cholis Basjaruddin"/>
        <s v="Sutoyo"/>
        <s v="Veince B Silahooy"/>
        <s v="Zulkifli Poli"/>
        <s v="Andreas Wahyu Krisdiarto"/>
        <s v="Ni Nyoman Candraasih K"/>
        <s v="Ismaini Zain"/>
        <s v="Agnes Tuti rumiati"/>
        <s v="Adatul Mukaromah"/>
        <s v="Wibawati"/>
        <s v="Muhammad Mashuri"/>
        <s v="Jerry Dwi T Purnomo"/>
        <s v="Agus Suharsono"/>
        <s v="Nur Iriawan"/>
        <s v="I Nyoman Budiantara"/>
        <s v="Kartika Fithriasari"/>
        <s v="Heri Kuswanto"/>
        <s v="Novri Suhermi"/>
        <s v="Erma Oktania P"/>
        <s v="Santi Puteri Rahayu"/>
        <s v="Suhartono"/>
        <s v="Vita Ratnasari"/>
        <s v="Irhamah"/>
        <s v="Sutikno"/>
        <s v="Santi Wulan Purnami"/>
        <s v="Diaz Fitria Aksioma"/>
        <s v="Dedy D Prastyo"/>
        <s v="Setiawan"/>
        <s v="Shofi Andriani"/>
        <s v="Purhadi"/>
        <s v="Sjahid Akbar"/>
        <s v="Bambang W Otok"/>
        <s v="Wiwiek Setya Winahju"/>
        <s v="Madu Ratna"/>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200">
  <r>
    <x v="0"/>
    <x v="0"/>
    <x v="0"/>
    <x v="0"/>
    <s v="Ketut Putra Sedana"/>
    <s v="Ismaini Zain"/>
    <s v="Agnes Tuti rumiati"/>
    <s v="3630017201"/>
    <x v="0"/>
    <n v="1"/>
    <x v="0"/>
    <x v="0"/>
    <n v="59000000"/>
  </r>
  <r>
    <x v="0"/>
    <x v="1"/>
    <x v="1"/>
    <x v="0"/>
    <s v="Yustina Rada"/>
    <s v="Agnes Tuti rumiati"/>
    <s v="Irhamah"/>
    <s v="8722066604"/>
    <x v="1"/>
    <n v="1"/>
    <x v="0"/>
    <x v="1"/>
    <n v="59000000"/>
  </r>
  <r>
    <x v="0"/>
    <x v="2"/>
    <x v="2"/>
    <x v="0"/>
    <s v="Lucien Pahala Sitanggang"/>
    <s v="Adatul Mukaromah"/>
    <s v="Adatul Mukaromah"/>
    <s v="6121108903"/>
    <x v="2"/>
    <n v="1"/>
    <x v="1"/>
    <x v="2"/>
    <n v="72000000"/>
  </r>
  <r>
    <x v="0"/>
    <x v="1"/>
    <x v="3"/>
    <x v="0"/>
    <s v="Sri Wahyuni"/>
    <s v="Wibawati"/>
    <s v="Nur Iriawan"/>
    <s v="3009038604"/>
    <x v="3"/>
    <n v="1"/>
    <x v="1"/>
    <x v="0"/>
    <n v="62000000"/>
  </r>
  <r>
    <x v="0"/>
    <x v="0"/>
    <x v="4"/>
    <x v="1"/>
    <s v="Yeldi S. Adel"/>
    <s v="Muhammad Mashuri"/>
    <s v="Jerry Dwi T Purnomo"/>
    <s v="3617087503"/>
    <x v="4"/>
    <n v="1"/>
    <x v="0"/>
    <x v="0"/>
    <n v="62000000"/>
  </r>
  <r>
    <x v="0"/>
    <x v="3"/>
    <x v="5"/>
    <x v="0"/>
    <s v="Shafitranata"/>
    <s v="Jerry Dwi T Purnomo"/>
    <s v="Sjahid Akbar"/>
    <s v="1721038604"/>
    <x v="5"/>
    <n v="3"/>
    <x v="1"/>
    <x v="0"/>
    <n v="67000000"/>
  </r>
  <r>
    <x v="0"/>
    <x v="0"/>
    <x v="6"/>
    <x v="0"/>
    <s v="Widati Amalin Ulfah"/>
    <s v="Agus Suharsono"/>
    <s v="I Nyoman Budiantara"/>
    <s v="6507038901"/>
    <x v="6"/>
    <n v="1"/>
    <x v="1"/>
    <x v="1"/>
    <n v="54000000"/>
  </r>
  <r>
    <x v="0"/>
    <x v="1"/>
    <x v="7"/>
    <x v="0"/>
    <s v="Tarmizi"/>
    <s v="Nur Iriawan"/>
    <s v="Diaz Fitria Aksioma"/>
    <s v="4719098401"/>
    <x v="7"/>
    <n v="1"/>
    <x v="0"/>
    <x v="1"/>
    <n v="54000000"/>
  </r>
  <r>
    <x v="0"/>
    <x v="4"/>
    <x v="8"/>
    <x v="0"/>
    <s v="Syaiful Pakaya, Se.,Mm"/>
    <s v="I Nyoman Budiantara"/>
    <s v="Wibawati"/>
    <s v="7428028802"/>
    <x v="8"/>
    <n v="1"/>
    <x v="1"/>
    <x v="1"/>
    <n v="75000000"/>
  </r>
  <r>
    <x v="0"/>
    <x v="5"/>
    <x v="9"/>
    <x v="0"/>
    <s v="Tory Ariyanto"/>
    <s v="Kartika Fithriasari"/>
    <s v="Agus Suharsono"/>
    <s v="7902058503"/>
    <x v="9"/>
    <n v="3"/>
    <x v="1"/>
    <x v="2"/>
    <n v="53000000"/>
  </r>
  <r>
    <x v="0"/>
    <x v="6"/>
    <x v="10"/>
    <x v="0"/>
    <s v="Dwi Desmiyeni_x000a_Putri"/>
    <s v="Heri Kuswanto"/>
    <s v="Agus Suharsono"/>
    <s v="8327097501"/>
    <x v="10"/>
    <n v="3"/>
    <x v="0"/>
    <x v="0"/>
    <n v="63000000"/>
  </r>
  <r>
    <x v="0"/>
    <x v="1"/>
    <x v="11"/>
    <x v="0"/>
    <s v="Faisal Amri Tanjung"/>
    <s v="Muhammad Mashuri"/>
    <s v="Suhartono"/>
    <s v="6313057604"/>
    <x v="11"/>
    <n v="1"/>
    <x v="1"/>
    <x v="0"/>
    <n v="71000000"/>
  </r>
  <r>
    <x v="0"/>
    <x v="7"/>
    <x v="12"/>
    <x v="0"/>
    <s v="Evi Zubaidah"/>
    <s v="Agnes Tuti rumiati"/>
    <s v="Heri Kuswanto"/>
    <s v="0102087802"/>
    <x v="12"/>
    <n v="2"/>
    <x v="1"/>
    <x v="1"/>
    <n v="58000000"/>
  </r>
  <r>
    <x v="0"/>
    <x v="8"/>
    <x v="13"/>
    <x v="2"/>
    <s v="Azir Alfanan"/>
    <s v="Agus Suharsono"/>
    <s v="Vita Ratnasari"/>
    <s v="2506037603"/>
    <x v="13"/>
    <n v="1"/>
    <x v="0"/>
    <x v="2"/>
    <n v="71000000"/>
  </r>
  <r>
    <x v="0"/>
    <x v="9"/>
    <x v="14"/>
    <x v="0"/>
    <s v="Lia Natalia"/>
    <s v="Novri Suhermi"/>
    <s v="Novri Suhermi"/>
    <s v="5325117903"/>
    <x v="14"/>
    <n v="1"/>
    <x v="0"/>
    <x v="3"/>
    <n v="68000000"/>
  </r>
  <r>
    <x v="0"/>
    <x v="7"/>
    <x v="15"/>
    <x v="2"/>
    <s v="Dadan Rosana"/>
    <s v="Ismaini Zain"/>
    <s v="Agnes Tuti rumiati"/>
    <s v="4522068802"/>
    <x v="15"/>
    <n v="1"/>
    <x v="1"/>
    <x v="1"/>
    <n v="51000000"/>
  </r>
  <r>
    <x v="0"/>
    <x v="10"/>
    <x v="16"/>
    <x v="0"/>
    <s v="Zurriat Nyndia Rahmawati"/>
    <s v="Ismaini Zain"/>
    <s v="Kartika Fithriasari"/>
    <s v="3220077201"/>
    <x v="16"/>
    <n v="1"/>
    <x v="1"/>
    <x v="3"/>
    <n v="58000000"/>
  </r>
  <r>
    <x v="0"/>
    <x v="10"/>
    <x v="17"/>
    <x v="0"/>
    <s v="Feliatra"/>
    <s v="Erma Oktania P"/>
    <s v="Sjahid Akbar"/>
    <s v="7429068701"/>
    <x v="17"/>
    <n v="1"/>
    <x v="0"/>
    <x v="2"/>
    <n v="53000000"/>
  </r>
  <r>
    <x v="0"/>
    <x v="10"/>
    <x v="16"/>
    <x v="0"/>
    <s v="Berlintina Permatasari"/>
    <s v="Santi Puteri Rahayu"/>
    <s v="Wibawati"/>
    <s v="5706126502"/>
    <x v="18"/>
    <n v="1"/>
    <x v="0"/>
    <x v="3"/>
    <n v="70000000"/>
  </r>
  <r>
    <x v="0"/>
    <x v="0"/>
    <x v="18"/>
    <x v="0"/>
    <s v="Dian Kusuma Wardani"/>
    <s v="Suhartono"/>
    <s v="Agnes Tuti rumiati"/>
    <s v="6226086903"/>
    <x v="19"/>
    <n v="1"/>
    <x v="0"/>
    <x v="2"/>
    <n v="75000000"/>
  </r>
  <r>
    <x v="0"/>
    <x v="10"/>
    <x v="19"/>
    <x v="0"/>
    <s v="Ahmad Yusuf"/>
    <s v="Vita Ratnasari"/>
    <s v="Dedy D Prastyo"/>
    <s v="6931128902"/>
    <x v="20"/>
    <n v="2"/>
    <x v="0"/>
    <x v="3"/>
    <n v="65000000"/>
  </r>
  <r>
    <x v="0"/>
    <x v="2"/>
    <x v="20"/>
    <x v="0"/>
    <s v="Dwita Suastiyanti"/>
    <s v="Heri Kuswanto"/>
    <s v="Nur Iriawan"/>
    <s v="6924018404"/>
    <x v="21"/>
    <n v="1"/>
    <x v="0"/>
    <x v="1"/>
    <n v="73000000"/>
  </r>
  <r>
    <x v="0"/>
    <x v="11"/>
    <x v="21"/>
    <x v="0"/>
    <s v="Brigitta Ayu Dwi Susanti"/>
    <s v="Muhammad Mashuri"/>
    <s v="Bambang W Otok"/>
    <s v="8728058301"/>
    <x v="22"/>
    <n v="1"/>
    <x v="0"/>
    <x v="1"/>
    <n v="60000000"/>
  </r>
  <r>
    <x v="0"/>
    <x v="10"/>
    <x v="22"/>
    <x v="0"/>
    <s v="Sukriming Sapareng"/>
    <s v="Kartika Fithriasari"/>
    <s v="Irhamah"/>
    <s v="0225019003"/>
    <x v="23"/>
    <n v="1"/>
    <x v="1"/>
    <x v="1"/>
    <n v="52000000"/>
  </r>
  <r>
    <x v="0"/>
    <x v="10"/>
    <x v="23"/>
    <x v="0"/>
    <s v="Septiani"/>
    <s v="Nur Iriawan"/>
    <s v="Vita Ratnasari"/>
    <s v="6609097303"/>
    <x v="24"/>
    <n v="1"/>
    <x v="1"/>
    <x v="2"/>
    <n v="53000000"/>
  </r>
  <r>
    <x v="0"/>
    <x v="10"/>
    <x v="24"/>
    <x v="0"/>
    <s v="Irma Manda Negara"/>
    <s v="Novri Suhermi"/>
    <s v="Sjahid Akbar"/>
    <s v="6929107704"/>
    <x v="25"/>
    <n v="1"/>
    <x v="1"/>
    <x v="1"/>
    <n v="74000000"/>
  </r>
  <r>
    <x v="0"/>
    <x v="0"/>
    <x v="25"/>
    <x v="3"/>
    <s v="Ratna Kumala Dewi"/>
    <s v="Erma Oktania P"/>
    <s v="Dedy D Prastyo"/>
    <s v="4809018604"/>
    <x v="26"/>
    <n v="1"/>
    <x v="0"/>
    <x v="1"/>
    <n v="56000000"/>
  </r>
  <r>
    <x v="0"/>
    <x v="3"/>
    <x v="26"/>
    <x v="0"/>
    <s v="Sirwan"/>
    <s v="Ismaini Zain"/>
    <s v="Kartika Fithriasari"/>
    <s v="1030048602"/>
    <x v="27"/>
    <n v="1"/>
    <x v="1"/>
    <x v="3"/>
    <n v="59000000"/>
  </r>
  <r>
    <x v="0"/>
    <x v="7"/>
    <x v="27"/>
    <x v="0"/>
    <s v="Nyoman Ayu Putri Lestari"/>
    <s v="Jerry Dwi T Purnomo"/>
    <s v="Novri Suhermi"/>
    <s v="3320037301"/>
    <x v="28"/>
    <n v="1"/>
    <x v="1"/>
    <x v="3"/>
    <n v="67000000"/>
  </r>
  <r>
    <x v="0"/>
    <x v="6"/>
    <x v="10"/>
    <x v="2"/>
    <s v="Maimuna Nontji"/>
    <s v="Jerry Dwi T Purnomo"/>
    <s v="Adatul Mukaromah"/>
    <s v="6826036503"/>
    <x v="29"/>
    <n v="1"/>
    <x v="0"/>
    <x v="1"/>
    <n v="67000000"/>
  </r>
  <r>
    <x v="0"/>
    <x v="10"/>
    <x v="28"/>
    <x v="2"/>
    <s v="Hasnita"/>
    <s v="Irhamah"/>
    <s v="Santi Wulan Purnami"/>
    <s v="6828128903"/>
    <x v="30"/>
    <n v="1"/>
    <x v="1"/>
    <x v="0"/>
    <n v="72000000"/>
  </r>
  <r>
    <x v="0"/>
    <x v="12"/>
    <x v="29"/>
    <x v="2"/>
    <s v="Novi Irwan Fauzi"/>
    <s v="Sutikno"/>
    <s v="Diaz Fitria Aksioma"/>
    <s v="6327047501"/>
    <x v="31"/>
    <n v="3"/>
    <x v="0"/>
    <x v="1"/>
    <n v="70000000"/>
  </r>
  <r>
    <x v="0"/>
    <x v="8"/>
    <x v="30"/>
    <x v="4"/>
    <s v="Nur Asmi"/>
    <s v="Santi Wulan Purnami"/>
    <s v="Dedy D Prastyo"/>
    <s v="6027038802"/>
    <x v="32"/>
    <n v="1"/>
    <x v="0"/>
    <x v="1"/>
    <n v="53000000"/>
  </r>
  <r>
    <x v="0"/>
    <x v="4"/>
    <x v="31"/>
    <x v="0"/>
    <s v="Besly Yermy Tungaoly_x000a_Messakh"/>
    <s v="Diaz Fitria Aksioma"/>
    <s v="Wiwiek Setya Winahju"/>
    <s v="5408038101"/>
    <x v="33"/>
    <n v="1"/>
    <x v="1"/>
    <x v="1"/>
    <n v="74000000"/>
  </r>
  <r>
    <x v="0"/>
    <x v="3"/>
    <x v="32"/>
    <x v="0"/>
    <s v="Atikah Mumpuni"/>
    <s v="Vita Ratnasari"/>
    <s v="Bambang W Otok"/>
    <s v="1320087803"/>
    <x v="34"/>
    <n v="1"/>
    <x v="0"/>
    <x v="1"/>
    <n v="64000000"/>
  </r>
  <r>
    <x v="0"/>
    <x v="10"/>
    <x v="33"/>
    <x v="3"/>
    <s v="Taufikkurrachm An"/>
    <s v="Irhamah"/>
    <s v="Nur Iriawan"/>
    <s v="3830067803"/>
    <x v="35"/>
    <n v="1"/>
    <x v="1"/>
    <x v="0"/>
    <n v="72000000"/>
  </r>
  <r>
    <x v="0"/>
    <x v="3"/>
    <x v="34"/>
    <x v="0"/>
    <s v="Andicha Gustra Jeki"/>
    <s v="Santi Puteri Rahayu"/>
    <s v="Suhartono"/>
    <s v="4726068504"/>
    <x v="36"/>
    <n v="1"/>
    <x v="1"/>
    <x v="3"/>
    <n v="52000000"/>
  </r>
  <r>
    <x v="0"/>
    <x v="12"/>
    <x v="35"/>
    <x v="2"/>
    <s v="Suharti"/>
    <s v="Heri Kuswanto"/>
    <s v="Purhadi"/>
    <s v="8128068604"/>
    <x v="37"/>
    <n v="1"/>
    <x v="1"/>
    <x v="3"/>
    <n v="52000000"/>
  </r>
  <r>
    <x v="0"/>
    <x v="3"/>
    <x v="36"/>
    <x v="0"/>
    <s v="Muhammad Duddy Satrianugraha_x000a_Wahidin"/>
    <s v="Santi Wulan Purnami"/>
    <s v="Jerry Dwi T Purnomo"/>
    <s v="0903037902"/>
    <x v="38"/>
    <n v="1"/>
    <x v="1"/>
    <x v="1"/>
    <n v="61000000"/>
  </r>
  <r>
    <x v="0"/>
    <x v="1"/>
    <x v="37"/>
    <x v="5"/>
    <s v="Estu Handayani"/>
    <s v="Jerry Dwi T Purnomo"/>
    <s v="Shofi Andriani"/>
    <s v="8326116702"/>
    <x v="39"/>
    <n v="1"/>
    <x v="0"/>
    <x v="3"/>
    <n v="65000000"/>
  </r>
  <r>
    <x v="0"/>
    <x v="10"/>
    <x v="38"/>
    <x v="0"/>
    <s v="Debby Willar"/>
    <s v="Irhamah"/>
    <s v="Heri Kuswanto"/>
    <s v="8202036701"/>
    <x v="40"/>
    <n v="1"/>
    <x v="0"/>
    <x v="0"/>
    <n v="68000000"/>
  </r>
  <r>
    <x v="0"/>
    <x v="10"/>
    <x v="39"/>
    <x v="0"/>
    <s v="Y Y Fransciscus Regis Sunarjan"/>
    <s v="Novri Suhermi"/>
    <s v="Wibawati"/>
    <s v="1616126604"/>
    <x v="41"/>
    <n v="1"/>
    <x v="0"/>
    <x v="0"/>
    <n v="73000000"/>
  </r>
  <r>
    <x v="0"/>
    <x v="1"/>
    <x v="40"/>
    <x v="0"/>
    <s v="I Gusti Ayu Agung Sinta_x000a_Diarini"/>
    <s v="Dedy D Prastyo"/>
    <s v="Sutikno"/>
    <s v="7425126604"/>
    <x v="42"/>
    <n v="1"/>
    <x v="1"/>
    <x v="3"/>
    <n v="68000000"/>
  </r>
  <r>
    <x v="0"/>
    <x v="3"/>
    <x v="41"/>
    <x v="6"/>
    <s v="Ferry Hadary"/>
    <s v="Jerry Dwi T Purnomo"/>
    <s v="I Nyoman Budiantara"/>
    <s v="2525037104"/>
    <x v="43"/>
    <n v="1"/>
    <x v="1"/>
    <x v="0"/>
    <n v="53000000"/>
  </r>
  <r>
    <x v="0"/>
    <x v="10"/>
    <x v="42"/>
    <x v="3"/>
    <s v="Denny Eko Wibowo"/>
    <s v="Nur Iriawan"/>
    <s v="Bambang W Otok"/>
    <s v="5322027004"/>
    <x v="44"/>
    <n v="1"/>
    <x v="1"/>
    <x v="2"/>
    <n v="54000000"/>
  </r>
  <r>
    <x v="0"/>
    <x v="3"/>
    <x v="43"/>
    <x v="0"/>
    <s v="Nur Kur'Ani"/>
    <s v="Ismaini Zain"/>
    <s v="Sjahid Akbar"/>
    <s v="5016118202"/>
    <x v="45"/>
    <n v="1"/>
    <x v="1"/>
    <x v="1"/>
    <n v="70000000"/>
  </r>
  <r>
    <x v="0"/>
    <x v="7"/>
    <x v="44"/>
    <x v="0"/>
    <s v="Andi Aminah"/>
    <s v="Setiawan"/>
    <s v="Suhartono"/>
    <s v="2609108504"/>
    <x v="46"/>
    <n v="1"/>
    <x v="0"/>
    <x v="2"/>
    <n v="66000000"/>
  </r>
  <r>
    <x v="0"/>
    <x v="0"/>
    <x v="25"/>
    <x v="2"/>
    <s v="Henni Gusfa"/>
    <s v="Sutikno"/>
    <s v="Shofi Andriani"/>
    <s v="5806027104"/>
    <x v="47"/>
    <n v="1"/>
    <x v="0"/>
    <x v="1"/>
    <n v="72000000"/>
  </r>
  <r>
    <x v="0"/>
    <x v="13"/>
    <x v="45"/>
    <x v="0"/>
    <s v="Mukhyiddin"/>
    <s v="Shofi Andriani"/>
    <s v="Sjahid Akbar"/>
    <s v="0608086601"/>
    <x v="48"/>
    <n v="1"/>
    <x v="1"/>
    <x v="0"/>
    <n v="56000000"/>
  </r>
  <r>
    <x v="0"/>
    <x v="0"/>
    <x v="18"/>
    <x v="7"/>
    <s v="Dewi Wahyuni"/>
    <s v="Suhartono"/>
    <s v="Bambang W Otok"/>
    <s v="7516087201"/>
    <x v="49"/>
    <n v="1"/>
    <x v="0"/>
    <x v="1"/>
    <n v="74000000"/>
  </r>
  <r>
    <x v="0"/>
    <x v="13"/>
    <x v="46"/>
    <x v="0"/>
    <s v="Rahmi Mudia Alti"/>
    <s v="Purhadi"/>
    <s v="Agnes Tuti rumiati"/>
    <s v="1102046604"/>
    <x v="50"/>
    <n v="1"/>
    <x v="0"/>
    <x v="0"/>
    <n v="60000000"/>
  </r>
  <r>
    <x v="0"/>
    <x v="6"/>
    <x v="47"/>
    <x v="2"/>
    <s v="Agustinur"/>
    <s v="Sjahid Akbar"/>
    <s v="Santi Puteri Rahayu"/>
    <s v="5026067701"/>
    <x v="51"/>
    <n v="2"/>
    <x v="0"/>
    <x v="2"/>
    <n v="73000000"/>
  </r>
  <r>
    <x v="0"/>
    <x v="4"/>
    <x v="48"/>
    <x v="0"/>
    <s v="Hary Saputra Sundoro"/>
    <s v="Bambang W Otok"/>
    <s v="Bambang W Otok"/>
    <s v="8124057201"/>
    <x v="52"/>
    <n v="1"/>
    <x v="1"/>
    <x v="3"/>
    <n v="63000000"/>
  </r>
  <r>
    <x v="0"/>
    <x v="1"/>
    <x v="49"/>
    <x v="0"/>
    <s v="Sheila Hani"/>
    <s v="Wiwiek Setya Winahju"/>
    <s v="Wiwiek Setya Winahju"/>
    <s v="3609128203"/>
    <x v="53"/>
    <n v="1"/>
    <x v="0"/>
    <x v="1"/>
    <n v="58000000"/>
  </r>
  <r>
    <x v="0"/>
    <x v="12"/>
    <x v="50"/>
    <x v="2"/>
    <s v="Yessy Prima Putri"/>
    <s v="Setiawan"/>
    <s v="Kartika Fithriasari"/>
    <s v="3718087603"/>
    <x v="54"/>
    <n v="1"/>
    <x v="1"/>
    <x v="1"/>
    <n v="61000000"/>
  </r>
  <r>
    <x v="0"/>
    <x v="8"/>
    <x v="51"/>
    <x v="2"/>
    <s v="Suyadi"/>
    <s v="Dedy D Prastyo"/>
    <s v="Ismaini Zain"/>
    <s v="1805077901"/>
    <x v="55"/>
    <n v="2"/>
    <x v="0"/>
    <x v="2"/>
    <n v="55000000"/>
  </r>
  <r>
    <x v="0"/>
    <x v="10"/>
    <x v="52"/>
    <x v="4"/>
    <s v="Mujiati La Saadi"/>
    <s v="Dedy D Prastyo"/>
    <s v="Vita Ratnasari"/>
    <s v="2631128303"/>
    <x v="56"/>
    <n v="3"/>
    <x v="1"/>
    <x v="0"/>
    <n v="61000000"/>
  </r>
  <r>
    <x v="0"/>
    <x v="8"/>
    <x v="53"/>
    <x v="0"/>
    <s v="Putriyani S"/>
    <s v="Irhamah"/>
    <s v="Purhadi"/>
    <s v="6727048202"/>
    <x v="57"/>
    <n v="2"/>
    <x v="0"/>
    <x v="2"/>
    <n v="56000000"/>
  </r>
  <r>
    <x v="0"/>
    <x v="10"/>
    <x v="54"/>
    <x v="8"/>
    <s v="Arief Budi Wicaksono"/>
    <s v="Wiwiek Setya Winahju"/>
    <s v="Suhartono"/>
    <s v="2207096802"/>
    <x v="58"/>
    <n v="1"/>
    <x v="0"/>
    <x v="3"/>
    <n v="58000000"/>
  </r>
  <r>
    <x v="0"/>
    <x v="3"/>
    <x v="55"/>
    <x v="0"/>
    <s v="Rakhmat Syaiful_x000a_Ramadhani"/>
    <s v="Santi Wulan Purnami"/>
    <s v="Vita Ratnasari"/>
    <s v="1828028903"/>
    <x v="59"/>
    <n v="1"/>
    <x v="1"/>
    <x v="0"/>
    <n v="68000000"/>
  </r>
  <r>
    <x v="0"/>
    <x v="11"/>
    <x v="56"/>
    <x v="6"/>
    <s v="Fx Nanang Sujatmiko"/>
    <s v="Setiawan"/>
    <s v="I Nyoman Budiantara"/>
    <s v="8410117204"/>
    <x v="60"/>
    <n v="1"/>
    <x v="0"/>
    <x v="0"/>
    <n v="62000000"/>
  </r>
  <r>
    <x v="0"/>
    <x v="8"/>
    <x v="57"/>
    <x v="4"/>
    <s v="Imam Prasetyo"/>
    <s v="Wiwiek Setya Winahju"/>
    <s v="Agnes Tuti rumiati"/>
    <s v="6217068002"/>
    <x v="61"/>
    <n v="1"/>
    <x v="0"/>
    <x v="0"/>
    <n v="52000000"/>
  </r>
  <r>
    <x v="0"/>
    <x v="8"/>
    <x v="58"/>
    <x v="0"/>
    <s v="Agus Wijayanto"/>
    <s v="Santi Puteri Rahayu"/>
    <s v="Agnes Tuti rumiati"/>
    <s v="4120097404"/>
    <x v="62"/>
    <n v="3"/>
    <x v="1"/>
    <x v="2"/>
    <n v="55000000"/>
  </r>
  <r>
    <x v="0"/>
    <x v="0"/>
    <x v="59"/>
    <x v="8"/>
    <s v="Oktavina Kartika Putri"/>
    <s v="Diaz Fitria Aksioma"/>
    <s v="I Nyoman Budiantara"/>
    <s v="1323066602"/>
    <x v="63"/>
    <n v="3"/>
    <x v="1"/>
    <x v="2"/>
    <n v="64000000"/>
  </r>
  <r>
    <x v="0"/>
    <x v="11"/>
    <x v="56"/>
    <x v="3"/>
    <s v="Nurma Yunita Indriyanti"/>
    <s v="Sjahid Akbar"/>
    <s v="Nur Iriawan"/>
    <s v="3113036703"/>
    <x v="64"/>
    <n v="1"/>
    <x v="0"/>
    <x v="1"/>
    <n v="58000000"/>
  </r>
  <r>
    <x v="0"/>
    <x v="8"/>
    <x v="60"/>
    <x v="6"/>
    <s v="Yohannes Firzal"/>
    <s v="Ismaini Zain"/>
    <s v="Sjahid Akbar"/>
    <s v="3709036502"/>
    <x v="65"/>
    <n v="1"/>
    <x v="1"/>
    <x v="0"/>
    <n v="64000000"/>
  </r>
  <r>
    <x v="0"/>
    <x v="10"/>
    <x v="61"/>
    <x v="0"/>
    <s v="I Putu Astawa"/>
    <s v="Novri Suhermi"/>
    <s v="Sjahid Akbar"/>
    <s v="7706047602"/>
    <x v="66"/>
    <n v="1"/>
    <x v="0"/>
    <x v="2"/>
    <n v="50000000"/>
  </r>
  <r>
    <x v="0"/>
    <x v="10"/>
    <x v="62"/>
    <x v="0"/>
    <s v="Ahmad Taufiq"/>
    <s v="Agnes Tuti rumiati"/>
    <s v="Sutikno"/>
    <s v="7907097701"/>
    <x v="67"/>
    <n v="1"/>
    <x v="0"/>
    <x v="2"/>
    <n v="50000000"/>
  </r>
  <r>
    <x v="0"/>
    <x v="0"/>
    <x v="63"/>
    <x v="6"/>
    <s v="Hilda Sulistia Alam"/>
    <s v="Dedy D Prastyo"/>
    <s v="Sjahid Akbar"/>
    <s v="7713126604"/>
    <x v="68"/>
    <n v="1"/>
    <x v="1"/>
    <x v="3"/>
    <n v="59000000"/>
  </r>
  <r>
    <x v="0"/>
    <x v="12"/>
    <x v="64"/>
    <x v="0"/>
    <s v="Nengke Puspita Sari"/>
    <s v="Novri Suhermi"/>
    <s v="Santi Puteri Rahayu"/>
    <s v="2728087104"/>
    <x v="69"/>
    <n v="1"/>
    <x v="0"/>
    <x v="3"/>
    <n v="53000000"/>
  </r>
  <r>
    <x v="0"/>
    <x v="3"/>
    <x v="65"/>
    <x v="0"/>
    <s v="Enny Zarvianti"/>
    <s v="Vita Ratnasari"/>
    <s v="Wibawati"/>
    <s v="3214048204"/>
    <x v="70"/>
    <n v="1"/>
    <x v="1"/>
    <x v="3"/>
    <n v="57000000"/>
  </r>
  <r>
    <x v="0"/>
    <x v="10"/>
    <x v="66"/>
    <x v="0"/>
    <s v="Krisna Yuwono Fora"/>
    <s v="Suhartono"/>
    <s v="Santi Wulan Purnami"/>
    <s v="8624047902"/>
    <x v="71"/>
    <n v="3"/>
    <x v="1"/>
    <x v="3"/>
    <n v="66000000"/>
  </r>
  <r>
    <x v="0"/>
    <x v="10"/>
    <x v="67"/>
    <x v="2"/>
    <s v="Fadhil Ilhamsyah"/>
    <s v="Setiawan"/>
    <s v="Muhammad Mashuri"/>
    <s v="8218098501"/>
    <x v="72"/>
    <n v="3"/>
    <x v="1"/>
    <x v="0"/>
    <n v="61000000"/>
  </r>
  <r>
    <x v="0"/>
    <x v="2"/>
    <x v="20"/>
    <x v="0"/>
    <s v="Resti Yulistria"/>
    <s v="Purhadi"/>
    <s v="Adatul Mukaromah"/>
    <s v="0313028604"/>
    <x v="73"/>
    <n v="1"/>
    <x v="0"/>
    <x v="0"/>
    <n v="72000000"/>
  </r>
  <r>
    <x v="0"/>
    <x v="12"/>
    <x v="68"/>
    <x v="0"/>
    <s v="Abdul Aziz"/>
    <s v="Muhammad Mashuri"/>
    <s v="Sutikno"/>
    <s v="7516028703"/>
    <x v="74"/>
    <n v="3"/>
    <x v="1"/>
    <x v="1"/>
    <n v="66000000"/>
  </r>
  <r>
    <x v="0"/>
    <x v="11"/>
    <x v="69"/>
    <x v="0"/>
    <s v="Hadijah Azis Karim"/>
    <s v="Shofi Andriani"/>
    <s v="Suhartono"/>
    <s v="5716058103"/>
    <x v="75"/>
    <n v="1"/>
    <x v="1"/>
    <x v="3"/>
    <n v="72000000"/>
  </r>
  <r>
    <x v="0"/>
    <x v="10"/>
    <x v="70"/>
    <x v="0"/>
    <s v="Miftachul Taubah"/>
    <s v="Ismaini Zain"/>
    <s v="Setiawan"/>
    <s v="5111038903"/>
    <x v="76"/>
    <n v="1"/>
    <x v="0"/>
    <x v="0"/>
    <n v="72000000"/>
  </r>
  <r>
    <x v="0"/>
    <x v="0"/>
    <x v="71"/>
    <x v="0"/>
    <s v="Septina Severina Lumbantobing"/>
    <s v="Irhamah"/>
    <s v="Agus Suharsono"/>
    <s v="0328097901"/>
    <x v="77"/>
    <n v="1"/>
    <x v="1"/>
    <x v="0"/>
    <n v="50000000"/>
  </r>
  <r>
    <x v="0"/>
    <x v="2"/>
    <x v="72"/>
    <x v="3"/>
    <s v="Andi Masniati"/>
    <s v="Suhartono"/>
    <s v="Madu Ratna"/>
    <s v="3318027504"/>
    <x v="78"/>
    <n v="3"/>
    <x v="1"/>
    <x v="0"/>
    <n v="74000000"/>
  </r>
  <r>
    <x v="0"/>
    <x v="12"/>
    <x v="73"/>
    <x v="2"/>
    <s v="Agustina M"/>
    <s v="Bambang W Otok"/>
    <s v="Wiwiek Setya Winahju"/>
    <s v="1414026704"/>
    <x v="79"/>
    <n v="1"/>
    <x v="1"/>
    <x v="3"/>
    <n v="58000000"/>
  </r>
  <r>
    <x v="0"/>
    <x v="0"/>
    <x v="74"/>
    <x v="4"/>
    <s v="Kundharu Saddhono"/>
    <s v="Muhammad Mashuri"/>
    <s v="Shofi Andriani"/>
    <s v="2103097802"/>
    <x v="80"/>
    <n v="1"/>
    <x v="1"/>
    <x v="3"/>
    <n v="57000000"/>
  </r>
  <r>
    <x v="0"/>
    <x v="8"/>
    <x v="51"/>
    <x v="0"/>
    <s v="Eddy Agus Muharyanto"/>
    <s v="Jerry Dwi T Purnomo"/>
    <s v="Wiwiek Setya Winahju"/>
    <s v="1104067602"/>
    <x v="81"/>
    <n v="1"/>
    <x v="1"/>
    <x v="3"/>
    <n v="59000000"/>
  </r>
  <r>
    <x v="0"/>
    <x v="10"/>
    <x v="42"/>
    <x v="0"/>
    <s v="Verry Aji Kurniawan"/>
    <s v="Agnes Tuti rumiati"/>
    <s v="Shofi Andriani"/>
    <s v="3521066502"/>
    <x v="82"/>
    <n v="1"/>
    <x v="0"/>
    <x v="3"/>
    <n v="52000000"/>
  </r>
  <r>
    <x v="0"/>
    <x v="1"/>
    <x v="75"/>
    <x v="0"/>
    <s v="Tri Arso"/>
    <s v="Purhadi"/>
    <s v="Purhadi"/>
    <s v="7825047803"/>
    <x v="83"/>
    <n v="1"/>
    <x v="1"/>
    <x v="0"/>
    <n v="53000000"/>
  </r>
  <r>
    <x v="0"/>
    <x v="1"/>
    <x v="76"/>
    <x v="0"/>
    <s v="Meita Rumbayan"/>
    <s v="Sutikno"/>
    <s v="Suhartono"/>
    <s v="3411117702"/>
    <x v="84"/>
    <n v="1"/>
    <x v="0"/>
    <x v="2"/>
    <n v="53000000"/>
  </r>
  <r>
    <x v="0"/>
    <x v="10"/>
    <x v="23"/>
    <x v="0"/>
    <s v="Basri"/>
    <s v="Muhammad Mashuri"/>
    <s v="Kartika Fithriasari"/>
    <s v="8207058004"/>
    <x v="85"/>
    <n v="3"/>
    <x v="1"/>
    <x v="0"/>
    <n v="64000000"/>
  </r>
  <r>
    <x v="0"/>
    <x v="0"/>
    <x v="77"/>
    <x v="0"/>
    <s v="Arfidian Rachman"/>
    <s v="Muhammad Mashuri"/>
    <s v="Wibawati"/>
    <s v="1328017204"/>
    <x v="86"/>
    <n v="1"/>
    <x v="1"/>
    <x v="3"/>
    <n v="65000000"/>
  </r>
  <r>
    <x v="0"/>
    <x v="0"/>
    <x v="63"/>
    <x v="0"/>
    <s v="Jelita Panjaitan"/>
    <s v="Kartika Fithriasari"/>
    <s v="Jerry Dwi T Purnomo"/>
    <s v="5703047304"/>
    <x v="87"/>
    <n v="1"/>
    <x v="0"/>
    <x v="3"/>
    <n v="69000000"/>
  </r>
  <r>
    <x v="0"/>
    <x v="0"/>
    <x v="78"/>
    <x v="8"/>
    <s v="Irwan Ismail"/>
    <s v="Vita Ratnasari"/>
    <s v="Madu Ratna"/>
    <s v="7821127404"/>
    <x v="88"/>
    <n v="1"/>
    <x v="1"/>
    <x v="3"/>
    <n v="65000000"/>
  </r>
  <r>
    <x v="0"/>
    <x v="10"/>
    <x v="79"/>
    <x v="0"/>
    <s v="Retno Wahyuni"/>
    <s v="Novri Suhermi"/>
    <s v="Madu Ratna"/>
    <s v="8307107903"/>
    <x v="89"/>
    <n v="1"/>
    <x v="0"/>
    <x v="2"/>
    <n v="75000000"/>
  </r>
  <r>
    <x v="0"/>
    <x v="8"/>
    <x v="80"/>
    <x v="8"/>
    <s v="Subuh Anggoro"/>
    <s v="Diaz Fitria Aksioma"/>
    <s v="Nur Iriawan"/>
    <s v="7111127101"/>
    <x v="90"/>
    <n v="1"/>
    <x v="1"/>
    <x v="1"/>
    <n v="51000000"/>
  </r>
  <r>
    <x v="0"/>
    <x v="14"/>
    <x v="81"/>
    <x v="0"/>
    <s v="Pujiono"/>
    <s v="I Nyoman Budiantara"/>
    <s v="Muhammad Mashuri"/>
    <s v="7116017802"/>
    <x v="91"/>
    <n v="1"/>
    <x v="0"/>
    <x v="0"/>
    <n v="67000000"/>
  </r>
  <r>
    <x v="0"/>
    <x v="12"/>
    <x v="35"/>
    <x v="2"/>
    <s v="Suharti"/>
    <s v="Shofi Andriani"/>
    <s v="Wiwiek Setya Winahju"/>
    <s v="8128068604"/>
    <x v="92"/>
    <n v="1"/>
    <x v="0"/>
    <x v="1"/>
    <n v="53000000"/>
  </r>
  <r>
    <x v="0"/>
    <x v="1"/>
    <x v="82"/>
    <x v="0"/>
    <s v="Feni Kurnia"/>
    <s v="Santi Puteri Rahayu"/>
    <s v="Vita Ratnasari"/>
    <s v="4921127204"/>
    <x v="93"/>
    <n v="3"/>
    <x v="1"/>
    <x v="2"/>
    <n v="63000000"/>
  </r>
  <r>
    <x v="0"/>
    <x v="14"/>
    <x v="83"/>
    <x v="0"/>
    <s v="Hanifah Ekawati Sibali"/>
    <s v="Nur Iriawan"/>
    <s v="Agnes Tuti rumiati"/>
    <s v="3509046502"/>
    <x v="94"/>
    <n v="1"/>
    <x v="0"/>
    <x v="3"/>
    <n v="75000000"/>
  </r>
  <r>
    <x v="0"/>
    <x v="2"/>
    <x v="84"/>
    <x v="0"/>
    <s v="Wiwik Sulistiyowati"/>
    <s v="Agus Suharsono"/>
    <s v="Santi Puteri Rahayu"/>
    <s v="7631088203"/>
    <x v="95"/>
    <n v="1"/>
    <x v="1"/>
    <x v="3"/>
    <n v="61000000"/>
  </r>
  <r>
    <x v="0"/>
    <x v="1"/>
    <x v="85"/>
    <x v="0"/>
    <s v="Azizil Fikri"/>
    <s v="Ismaini Zain"/>
    <s v="Adatul Mukaromah"/>
    <s v="8412046601"/>
    <x v="96"/>
    <n v="1"/>
    <x v="0"/>
    <x v="3"/>
    <n v="73000000"/>
  </r>
  <r>
    <x v="0"/>
    <x v="10"/>
    <x v="39"/>
    <x v="8"/>
    <s v="Hartati Ramli"/>
    <s v="Setiawan"/>
    <s v="Wiwiek Setya Winahju"/>
    <s v="4112087702"/>
    <x v="97"/>
    <n v="1"/>
    <x v="0"/>
    <x v="2"/>
    <n v="62000000"/>
  </r>
  <r>
    <x v="0"/>
    <x v="10"/>
    <x v="86"/>
    <x v="0"/>
    <s v="Ria Kasanova"/>
    <s v="Muhammad Mashuri"/>
    <s v="Adatul Mukaromah"/>
    <s v="1317048503"/>
    <x v="98"/>
    <n v="1"/>
    <x v="0"/>
    <x v="3"/>
    <n v="52000000"/>
  </r>
  <r>
    <x v="0"/>
    <x v="0"/>
    <x v="25"/>
    <x v="2"/>
    <s v="Fansuri Munawar"/>
    <s v="Vita Ratnasari"/>
    <s v="Erma Oktania P"/>
    <s v="5630038303"/>
    <x v="99"/>
    <n v="3"/>
    <x v="1"/>
    <x v="2"/>
    <n v="65000000"/>
  </r>
  <r>
    <x v="1"/>
    <x v="10"/>
    <x v="61"/>
    <x v="9"/>
    <s v="I Putu Astawa"/>
    <s v="Vita Ratnasari"/>
    <s v="Shofi Andriani"/>
    <s v="7706047602"/>
    <x v="100"/>
    <s v="-"/>
    <x v="2"/>
    <x v="3"/>
    <n v="60000000"/>
  </r>
  <r>
    <x v="1"/>
    <x v="11"/>
    <x v="87"/>
    <x v="10"/>
    <s v="Shinta Wahyu Hati"/>
    <s v="Kartika Fithriasari"/>
    <s v="Adatul Mukaromah"/>
    <s v="0825107201"/>
    <x v="101"/>
    <s v="-"/>
    <x v="2"/>
    <x v="0"/>
    <n v="63000000"/>
  </r>
  <r>
    <x v="1"/>
    <x v="0"/>
    <x v="88"/>
    <x v="11"/>
    <s v="Mey Risa"/>
    <s v="Agnes Tuti rumiati"/>
    <s v="Nur Iriawan"/>
    <s v="0108076604"/>
    <x v="102"/>
    <s v="-"/>
    <x v="2"/>
    <x v="1"/>
    <n v="55000000"/>
  </r>
  <r>
    <x v="1"/>
    <x v="14"/>
    <x v="89"/>
    <x v="11"/>
    <s v="Sitti Hadijah"/>
    <s v="Jerry Dwi T Purnomo"/>
    <s v="Irhamah"/>
    <s v="5823117504"/>
    <x v="103"/>
    <s v="-"/>
    <x v="2"/>
    <x v="2"/>
    <n v="68000000"/>
  </r>
  <r>
    <x v="1"/>
    <x v="12"/>
    <x v="90"/>
    <x v="12"/>
    <s v="Indah Yulia Ningsih"/>
    <s v="Heri Kuswanto"/>
    <s v="Sjahid Akbar"/>
    <s v="6426128303"/>
    <x v="104"/>
    <s v="-"/>
    <x v="2"/>
    <x v="0"/>
    <n v="54000000"/>
  </r>
  <r>
    <x v="1"/>
    <x v="0"/>
    <x v="91"/>
    <x v="9"/>
    <s v="Ratni Primalita"/>
    <s v="Sjahid Akbar"/>
    <s v="Shofi Andriani"/>
    <s v="1328029003"/>
    <x v="105"/>
    <s v="-"/>
    <x v="2"/>
    <x v="1"/>
    <n v="53000000"/>
  </r>
  <r>
    <x v="1"/>
    <x v="13"/>
    <x v="92"/>
    <x v="13"/>
    <s v="Farman"/>
    <s v="Sjahid Akbar"/>
    <s v="Agnes Tuti rumiati"/>
    <s v="6305117603"/>
    <x v="106"/>
    <s v="-"/>
    <x v="2"/>
    <x v="1"/>
    <n v="60000000"/>
  </r>
  <r>
    <x v="1"/>
    <x v="8"/>
    <x v="57"/>
    <x v="12"/>
    <s v="Arsy Aysyah Anas"/>
    <s v="Setiawan"/>
    <s v="Shofi Andriani"/>
    <s v="5421067904"/>
    <x v="107"/>
    <s v="-"/>
    <x v="2"/>
    <x v="3"/>
    <n v="57000000"/>
  </r>
  <r>
    <x v="1"/>
    <x v="3"/>
    <x v="93"/>
    <x v="11"/>
    <s v="Wilda Fasim Br Hasibuan"/>
    <s v="Erma Oktania P"/>
    <s v="Madu Ratna"/>
    <s v="8430118103"/>
    <x v="108"/>
    <s v="-"/>
    <x v="2"/>
    <x v="0"/>
    <n v="52000000"/>
  </r>
  <r>
    <x v="1"/>
    <x v="4"/>
    <x v="94"/>
    <x v="9"/>
    <s v="Sunyoto"/>
    <s v="Ismaini Zain"/>
    <s v="Suhartono"/>
    <s v="6811017103"/>
    <x v="109"/>
    <s v="-"/>
    <x v="2"/>
    <x v="2"/>
    <n v="65000000"/>
  </r>
  <r>
    <x v="1"/>
    <x v="4"/>
    <x v="94"/>
    <x v="9"/>
    <s v="Ahmad Farhan"/>
    <s v="Adatul Mukaromah"/>
    <s v="Erma Oktania P"/>
    <s v="0214047404"/>
    <x v="110"/>
    <s v="-"/>
    <x v="2"/>
    <x v="3"/>
    <n v="61000000"/>
  </r>
  <r>
    <x v="1"/>
    <x v="3"/>
    <x v="95"/>
    <x v="12"/>
    <s v="Henderina J Keiluhu"/>
    <s v="Agus Suharsono"/>
    <s v="Diaz Fitria Aksioma"/>
    <s v="6210046504"/>
    <x v="111"/>
    <s v="-"/>
    <x v="2"/>
    <x v="2"/>
    <n v="59000000"/>
  </r>
  <r>
    <x v="1"/>
    <x v="6"/>
    <x v="96"/>
    <x v="9"/>
    <s v="Arwizet K"/>
    <s v="Madu Ratna"/>
    <s v="Vita Ratnasari"/>
    <s v="6206108604"/>
    <x v="112"/>
    <s v="-"/>
    <x v="2"/>
    <x v="3"/>
    <n v="74000000"/>
  </r>
  <r>
    <x v="1"/>
    <x v="13"/>
    <x v="97"/>
    <x v="12"/>
    <s v="Sisilia Florina Yanti"/>
    <s v="Novri Suhermi"/>
    <s v="Shofi Andriani"/>
    <s v="7013058803"/>
    <x v="113"/>
    <s v="-"/>
    <x v="2"/>
    <x v="3"/>
    <n v="68000000"/>
  </r>
  <r>
    <x v="1"/>
    <x v="11"/>
    <x v="98"/>
    <x v="12"/>
    <s v="Mohammad Saifur Rohman"/>
    <s v="Adatul Mukaromah"/>
    <s v="Sjahid Akbar"/>
    <s v="4002068404"/>
    <x v="114"/>
    <s v="-"/>
    <x v="2"/>
    <x v="0"/>
    <n v="70000000"/>
  </r>
  <r>
    <x v="1"/>
    <x v="11"/>
    <x v="99"/>
    <x v="14"/>
    <s v="Syair"/>
    <s v="Agus Suharsono"/>
    <s v="Heri Kuswanto"/>
    <s v="4130087203"/>
    <x v="115"/>
    <s v="-"/>
    <x v="2"/>
    <x v="2"/>
    <n v="52000000"/>
  </r>
  <r>
    <x v="1"/>
    <x v="10"/>
    <x v="86"/>
    <x v="9"/>
    <s v="Dewa Ketut Meles"/>
    <s v="Santi Wulan Purnami"/>
    <s v="Wiwiek Setya Winahju"/>
    <s v="1813068001"/>
    <x v="116"/>
    <s v="-"/>
    <x v="2"/>
    <x v="1"/>
    <n v="74000000"/>
  </r>
  <r>
    <x v="1"/>
    <x v="8"/>
    <x v="100"/>
    <x v="15"/>
    <s v="Rosdanelli Hasibuan"/>
    <s v="Santi Wulan Purnami"/>
    <s v="Kartika Fithriasari"/>
    <s v="3030117202"/>
    <x v="117"/>
    <s v="-"/>
    <x v="2"/>
    <x v="0"/>
    <n v="62000000"/>
  </r>
  <r>
    <x v="1"/>
    <x v="7"/>
    <x v="101"/>
    <x v="12"/>
    <s v="Muliyadi"/>
    <s v="Diaz Fitria Aksioma"/>
    <s v="Madu Ratna"/>
    <s v="5930058703"/>
    <x v="118"/>
    <s v="-"/>
    <x v="2"/>
    <x v="3"/>
    <n v="59000000"/>
  </r>
  <r>
    <x v="1"/>
    <x v="10"/>
    <x v="102"/>
    <x v="9"/>
    <s v="Rila Setyaningsih"/>
    <s v="Novri Suhermi"/>
    <s v="Muhammad Mashuri"/>
    <s v="7807058504"/>
    <x v="119"/>
    <s v="-"/>
    <x v="2"/>
    <x v="2"/>
    <n v="53000000"/>
  </r>
  <r>
    <x v="1"/>
    <x v="10"/>
    <x v="103"/>
    <x v="9"/>
    <s v="Mochamad Arif Zainul Fuad"/>
    <s v="Muhammad Mashuri"/>
    <s v="Santi Puteri Rahayu"/>
    <s v="6731018202"/>
    <x v="120"/>
    <s v="-"/>
    <x v="2"/>
    <x v="0"/>
    <n v="68000000"/>
  </r>
  <r>
    <x v="1"/>
    <x v="1"/>
    <x v="104"/>
    <x v="16"/>
    <s v="Nurlina"/>
    <s v="Dedy D Prastyo"/>
    <s v="I Nyoman Budiantara"/>
    <s v="2130047402"/>
    <x v="121"/>
    <s v="-"/>
    <x v="2"/>
    <x v="0"/>
    <n v="54000000"/>
  </r>
  <r>
    <x v="1"/>
    <x v="0"/>
    <x v="105"/>
    <x v="9"/>
    <s v="Taufik Hidayat B"/>
    <s v="Diaz Fitria Aksioma"/>
    <s v="Agnes Tuti rumiati"/>
    <s v="1502106504"/>
    <x v="122"/>
    <s v="-"/>
    <x v="2"/>
    <x v="1"/>
    <n v="70000000"/>
  </r>
  <r>
    <x v="1"/>
    <x v="7"/>
    <x v="106"/>
    <x v="14"/>
    <s v="Karyo Budi Utomo"/>
    <s v="Wibawati"/>
    <s v="Nur Iriawan"/>
    <s v="8220048101"/>
    <x v="123"/>
    <s v="-"/>
    <x v="2"/>
    <x v="3"/>
    <n v="59000000"/>
  </r>
  <r>
    <x v="1"/>
    <x v="1"/>
    <x v="107"/>
    <x v="12"/>
    <s v="Syahminan"/>
    <s v="Agus Suharsono"/>
    <s v="Agnes Tuti rumiati"/>
    <s v="3628118903"/>
    <x v="124"/>
    <s v="-"/>
    <x v="2"/>
    <x v="1"/>
    <n v="55000000"/>
  </r>
  <r>
    <x v="1"/>
    <x v="3"/>
    <x v="108"/>
    <x v="15"/>
    <s v="Slamet Subiyantoro"/>
    <s v="Irhamah"/>
    <s v="Jerry Dwi T Purnomo"/>
    <s v="5022058603"/>
    <x v="125"/>
    <s v="-"/>
    <x v="2"/>
    <x v="1"/>
    <n v="62000000"/>
  </r>
  <r>
    <x v="1"/>
    <x v="9"/>
    <x v="109"/>
    <x v="12"/>
    <s v="Sri Yona"/>
    <s v="Novri Suhermi"/>
    <s v="Santi Wulan Purnami"/>
    <s v="1707037302"/>
    <x v="126"/>
    <s v="-"/>
    <x v="2"/>
    <x v="1"/>
    <n v="70000000"/>
  </r>
  <r>
    <x v="1"/>
    <x v="0"/>
    <x v="110"/>
    <x v="11"/>
    <s v="Hendra Yufit Riskiawan"/>
    <s v="Setiawan"/>
    <s v="Setiawan"/>
    <s v="2006128203"/>
    <x v="127"/>
    <s v="-"/>
    <x v="2"/>
    <x v="2"/>
    <n v="55000000"/>
  </r>
  <r>
    <x v="1"/>
    <x v="13"/>
    <x v="97"/>
    <x v="12"/>
    <s v="I Made Ardana Putra"/>
    <s v="Muhammad Mashuri"/>
    <s v="Jerry Dwi T Purnomo"/>
    <s v="2210017402"/>
    <x v="128"/>
    <s v="-"/>
    <x v="2"/>
    <x v="1"/>
    <n v="67000000"/>
  </r>
  <r>
    <x v="1"/>
    <x v="7"/>
    <x v="101"/>
    <x v="12"/>
    <s v="Kahar Muzakhar"/>
    <s v="I Nyoman Budiantara"/>
    <s v="Suhartono"/>
    <s v="8105118902"/>
    <x v="129"/>
    <s v="-"/>
    <x v="2"/>
    <x v="3"/>
    <n v="60000000"/>
  </r>
  <r>
    <x v="1"/>
    <x v="4"/>
    <x v="111"/>
    <x v="12"/>
    <s v="Santi P.T. Rahantoknam"/>
    <s v="Adatul Mukaromah"/>
    <s v="Irhamah"/>
    <s v="7408017602"/>
    <x v="130"/>
    <s v="-"/>
    <x v="2"/>
    <x v="3"/>
    <n v="69000000"/>
  </r>
  <r>
    <x v="1"/>
    <x v="13"/>
    <x v="112"/>
    <x v="9"/>
    <s v="Nurwiyanta"/>
    <s v="Sutikno"/>
    <s v="Adatul Mukaromah"/>
    <s v="6128057601"/>
    <x v="131"/>
    <s v="-"/>
    <x v="2"/>
    <x v="1"/>
    <n v="68000000"/>
  </r>
  <r>
    <x v="1"/>
    <x v="12"/>
    <x v="113"/>
    <x v="9"/>
    <s v="Umi Purwandari"/>
    <s v="Novri Suhermi"/>
    <s v="Wiwiek Setya Winahju"/>
    <s v="3201126501"/>
    <x v="132"/>
    <s v="-"/>
    <x v="2"/>
    <x v="1"/>
    <n v="66000000"/>
  </r>
  <r>
    <x v="1"/>
    <x v="10"/>
    <x v="114"/>
    <x v="9"/>
    <s v="Atik Widiyanti"/>
    <s v="Muhammad Mashuri"/>
    <s v="Adatul Mukaromah"/>
    <s v="6301128503"/>
    <x v="133"/>
    <s v="-"/>
    <x v="2"/>
    <x v="2"/>
    <n v="65000000"/>
  </r>
  <r>
    <x v="1"/>
    <x v="4"/>
    <x v="115"/>
    <x v="15"/>
    <s v="Tri Astuti"/>
    <s v="Madu Ratna"/>
    <s v="Sutikno"/>
    <s v="3226108801"/>
    <x v="134"/>
    <s v="-"/>
    <x v="2"/>
    <x v="1"/>
    <n v="55000000"/>
  </r>
  <r>
    <x v="1"/>
    <x v="10"/>
    <x v="116"/>
    <x v="9"/>
    <s v="Wahyu Mushollaeni"/>
    <s v="Agus Suharsono"/>
    <s v="Muhammad Mashuri"/>
    <s v="5926067204"/>
    <x v="135"/>
    <s v="-"/>
    <x v="2"/>
    <x v="2"/>
    <n v="60000000"/>
  </r>
  <r>
    <x v="1"/>
    <x v="9"/>
    <x v="117"/>
    <x v="16"/>
    <s v="Alfonds Andrew Maramis"/>
    <s v="Sutikno"/>
    <s v="Madu Ratna"/>
    <s v="5503106901"/>
    <x v="136"/>
    <s v="-"/>
    <x v="2"/>
    <x v="2"/>
    <n v="65000000"/>
  </r>
  <r>
    <x v="1"/>
    <x v="7"/>
    <x v="118"/>
    <x v="9"/>
    <s v="Tri Prasetyo Utomo"/>
    <s v="Vita Ratnasari"/>
    <s v="Heri Kuswanto"/>
    <s v="0503026701"/>
    <x v="137"/>
    <s v="-"/>
    <x v="2"/>
    <x v="1"/>
    <n v="66000000"/>
  </r>
  <r>
    <x v="1"/>
    <x v="11"/>
    <x v="119"/>
    <x v="11"/>
    <s v="Rahmatya Widyaswati"/>
    <s v="Ismaini Zain"/>
    <s v="Wiwiek Setya Winahju"/>
    <s v="7501088403"/>
    <x v="138"/>
    <s v="-"/>
    <x v="2"/>
    <x v="0"/>
    <n v="56000000"/>
  </r>
  <r>
    <x v="1"/>
    <x v="4"/>
    <x v="120"/>
    <x v="12"/>
    <s v="Mahendra"/>
    <s v="Agus Suharsono"/>
    <s v="Ismaini Zain"/>
    <s v="3707046502"/>
    <x v="139"/>
    <s v="-"/>
    <x v="2"/>
    <x v="1"/>
    <n v="64000000"/>
  </r>
  <r>
    <x v="1"/>
    <x v="0"/>
    <x v="4"/>
    <x v="9"/>
    <s v="Dahlia Dahlima Moelier"/>
    <s v="Diaz Fitria Aksioma"/>
    <s v="Shofi Andriani"/>
    <s v="0330047903"/>
    <x v="140"/>
    <s v="-"/>
    <x v="2"/>
    <x v="3"/>
    <n v="62000000"/>
  </r>
  <r>
    <x v="1"/>
    <x v="14"/>
    <x v="121"/>
    <x v="14"/>
    <s v="Nuriyati Samatan"/>
    <s v="Heri Kuswanto"/>
    <s v="Sjahid Akbar"/>
    <s v="1008118801"/>
    <x v="141"/>
    <s v="-"/>
    <x v="2"/>
    <x v="1"/>
    <n v="56000000"/>
  </r>
  <r>
    <x v="1"/>
    <x v="6"/>
    <x v="122"/>
    <x v="9"/>
    <s v="Yuni Aryani Koedoes"/>
    <s v="Diaz Fitria Aksioma"/>
    <s v="Jerry Dwi T Purnomo"/>
    <s v="2902117601"/>
    <x v="142"/>
    <s v="-"/>
    <x v="2"/>
    <x v="1"/>
    <n v="73000000"/>
  </r>
  <r>
    <x v="1"/>
    <x v="9"/>
    <x v="109"/>
    <x v="9"/>
    <s v="Agus Syam"/>
    <s v="Purhadi"/>
    <s v="Vita Ratnasari"/>
    <s v="2019086904"/>
    <x v="143"/>
    <s v="-"/>
    <x v="2"/>
    <x v="3"/>
    <n v="60000000"/>
  </r>
  <r>
    <x v="1"/>
    <x v="7"/>
    <x v="123"/>
    <x v="9"/>
    <s v="Indra Mawardi"/>
    <s v="Purhadi"/>
    <s v="Madu Ratna"/>
    <s v="7517047903"/>
    <x v="144"/>
    <s v="-"/>
    <x v="2"/>
    <x v="3"/>
    <n v="73000000"/>
  </r>
  <r>
    <x v="1"/>
    <x v="6"/>
    <x v="124"/>
    <x v="12"/>
    <s v="Sri Fatmah Sari"/>
    <s v="Heri Kuswanto"/>
    <s v="Novri Suhermi"/>
    <s v="2405017004"/>
    <x v="145"/>
    <s v="-"/>
    <x v="2"/>
    <x v="2"/>
    <n v="74000000"/>
  </r>
  <r>
    <x v="1"/>
    <x v="3"/>
    <x v="125"/>
    <x v="9"/>
    <s v="Ngatirah"/>
    <s v="Madu Ratna"/>
    <s v="Wibawati"/>
    <s v="0601109002"/>
    <x v="146"/>
    <s v="-"/>
    <x v="2"/>
    <x v="2"/>
    <n v="70000000"/>
  </r>
  <r>
    <x v="1"/>
    <x v="13"/>
    <x v="126"/>
    <x v="9"/>
    <s v="Fitriani Ningsih"/>
    <s v="Bambang W Otok"/>
    <s v="Santi Puteri Rahayu"/>
    <s v="2302127202"/>
    <x v="147"/>
    <s v="-"/>
    <x v="2"/>
    <x v="1"/>
    <n v="70000000"/>
  </r>
  <r>
    <x v="1"/>
    <x v="7"/>
    <x v="127"/>
    <x v="14"/>
    <s v="Saronom Silaban"/>
    <s v="Jerry Dwi T Purnomo"/>
    <s v="Sjahid Akbar"/>
    <s v="4906038501"/>
    <x v="148"/>
    <s v="-"/>
    <x v="2"/>
    <x v="3"/>
    <n v="53000000"/>
  </r>
  <r>
    <x v="1"/>
    <x v="12"/>
    <x v="128"/>
    <x v="9"/>
    <s v="Marzuki"/>
    <s v="Jerry Dwi T Purnomo"/>
    <s v="Heri Kuswanto"/>
    <s v="0901017201"/>
    <x v="149"/>
    <s v="-"/>
    <x v="2"/>
    <x v="0"/>
    <n v="50000000"/>
  </r>
  <r>
    <x v="1"/>
    <x v="0"/>
    <x v="129"/>
    <x v="9"/>
    <s v="Rosida Vivin Nahari"/>
    <s v="Sutikno"/>
    <s v="Shofi Andriani"/>
    <s v="7716078304"/>
    <x v="150"/>
    <s v="-"/>
    <x v="2"/>
    <x v="1"/>
    <n v="57000000"/>
  </r>
  <r>
    <x v="1"/>
    <x v="2"/>
    <x v="130"/>
    <x v="13"/>
    <s v="Iwan Perwira"/>
    <s v="Kartika Fithriasari"/>
    <s v="Irhamah"/>
    <s v="8314128902"/>
    <x v="151"/>
    <s v="-"/>
    <x v="2"/>
    <x v="0"/>
    <n v="52000000"/>
  </r>
  <r>
    <x v="1"/>
    <x v="12"/>
    <x v="131"/>
    <x v="12"/>
    <s v="Seri Suriani"/>
    <s v="Kartika Fithriasari"/>
    <s v="Heri Kuswanto"/>
    <s v="2128117401"/>
    <x v="152"/>
    <s v="-"/>
    <x v="2"/>
    <x v="3"/>
    <n v="58000000"/>
  </r>
  <r>
    <x v="1"/>
    <x v="10"/>
    <x v="132"/>
    <x v="12"/>
    <s v="Ali Sofwan"/>
    <s v="Santi Puteri Rahayu"/>
    <s v="Shofi Andriani"/>
    <s v="2003086701"/>
    <x v="153"/>
    <s v="-"/>
    <x v="2"/>
    <x v="3"/>
    <n v="65000000"/>
  </r>
  <r>
    <x v="1"/>
    <x v="7"/>
    <x v="133"/>
    <x v="9"/>
    <s v="Elkawakib Syamun"/>
    <s v="Irhamah"/>
    <s v="Wiwiek Setya Winahju"/>
    <s v="2023107904"/>
    <x v="154"/>
    <s v="-"/>
    <x v="2"/>
    <x v="2"/>
    <n v="74000000"/>
  </r>
  <r>
    <x v="1"/>
    <x v="10"/>
    <x v="132"/>
    <x v="9"/>
    <s v="Riska Nurtantyo Sarbini"/>
    <s v="Muhammad Mashuri"/>
    <s v="Dedy D Prastyo"/>
    <s v="1229118604"/>
    <x v="155"/>
    <s v="-"/>
    <x v="2"/>
    <x v="3"/>
    <n v="67000000"/>
  </r>
  <r>
    <x v="1"/>
    <x v="9"/>
    <x v="134"/>
    <x v="12"/>
    <s v="Badaruddin Anwar"/>
    <s v="Agnes Tuti rumiati"/>
    <s v="Wibawati"/>
    <s v="7425068701"/>
    <x v="156"/>
    <s v="-"/>
    <x v="2"/>
    <x v="0"/>
    <n v="72000000"/>
  </r>
  <r>
    <x v="1"/>
    <x v="11"/>
    <x v="135"/>
    <x v="9"/>
    <s v="Kasron"/>
    <s v="Bambang W Otok"/>
    <s v="Purhadi"/>
    <s v="7106116601"/>
    <x v="157"/>
    <s v="-"/>
    <x v="2"/>
    <x v="1"/>
    <n v="75000000"/>
  </r>
  <r>
    <x v="1"/>
    <x v="0"/>
    <x v="136"/>
    <x v="12"/>
    <s v="Rokhana Dwi Bekti"/>
    <s v="Kartika Fithriasari"/>
    <s v="Bambang W Otok"/>
    <s v="8606126501"/>
    <x v="158"/>
    <s v="-"/>
    <x v="2"/>
    <x v="1"/>
    <n v="61000000"/>
  </r>
  <r>
    <x v="1"/>
    <x v="10"/>
    <x v="137"/>
    <x v="9"/>
    <s v="Yustina Lina Dina Wambrauw"/>
    <s v="Dedy D Prastyo"/>
    <s v="Bambang W Otok"/>
    <s v="7111078701"/>
    <x v="159"/>
    <s v="-"/>
    <x v="2"/>
    <x v="3"/>
    <n v="53000000"/>
  </r>
  <r>
    <x v="1"/>
    <x v="9"/>
    <x v="138"/>
    <x v="11"/>
    <s v="Rulinawaty"/>
    <s v="Agnes Tuti rumiati"/>
    <s v="Madu Ratna"/>
    <s v="2130118901"/>
    <x v="160"/>
    <s v="-"/>
    <x v="2"/>
    <x v="2"/>
    <n v="56000000"/>
  </r>
  <r>
    <x v="1"/>
    <x v="3"/>
    <x v="139"/>
    <x v="9"/>
    <s v="Isrojaty Johanes Paransa"/>
    <s v="Setiawan"/>
    <s v="Novri Suhermi"/>
    <s v="6926078804"/>
    <x v="161"/>
    <s v="-"/>
    <x v="2"/>
    <x v="3"/>
    <n v="56000000"/>
  </r>
  <r>
    <x v="1"/>
    <x v="0"/>
    <x v="140"/>
    <x v="12"/>
    <s v="Edwin Leonardo Apolonio Ngangi"/>
    <s v="Wibawati"/>
    <s v="Setiawan"/>
    <s v="4126067702"/>
    <x v="162"/>
    <s v="-"/>
    <x v="2"/>
    <x v="0"/>
    <n v="61000000"/>
  </r>
  <r>
    <x v="1"/>
    <x v="13"/>
    <x v="97"/>
    <x v="13"/>
    <s v="Bakir"/>
    <s v="Madu Ratna"/>
    <s v="Santi Wulan Purnami"/>
    <s v="2020128301"/>
    <x v="163"/>
    <s v="-"/>
    <x v="2"/>
    <x v="3"/>
    <n v="52000000"/>
  </r>
  <r>
    <x v="1"/>
    <x v="14"/>
    <x v="141"/>
    <x v="9"/>
    <s v="Ronny Hasudungan Purba"/>
    <s v="Setiawan"/>
    <s v="Agnes Tuti rumiati"/>
    <s v="7807028004"/>
    <x v="164"/>
    <s v="-"/>
    <x v="2"/>
    <x v="0"/>
    <n v="58000000"/>
  </r>
  <r>
    <x v="1"/>
    <x v="9"/>
    <x v="142"/>
    <x v="9"/>
    <s v="Maya Weka Santi"/>
    <s v="Suhartono"/>
    <s v="Nur Iriawan"/>
    <s v="8516058002"/>
    <x v="165"/>
    <s v="-"/>
    <x v="2"/>
    <x v="0"/>
    <n v="75000000"/>
  </r>
  <r>
    <x v="1"/>
    <x v="4"/>
    <x v="94"/>
    <x v="12"/>
    <s v="Asmidar"/>
    <s v="Vita Ratnasari"/>
    <s v="Sjahid Akbar"/>
    <s v="7321098601"/>
    <x v="166"/>
    <s v="-"/>
    <x v="2"/>
    <x v="3"/>
    <n v="62000000"/>
  </r>
  <r>
    <x v="1"/>
    <x v="14"/>
    <x v="143"/>
    <x v="9"/>
    <s v="Jusuf Haurissa"/>
    <s v="Ismaini Zain"/>
    <s v="Vita Ratnasari"/>
    <s v="3809086604"/>
    <x v="167"/>
    <s v="-"/>
    <x v="2"/>
    <x v="3"/>
    <n v="66000000"/>
  </r>
  <r>
    <x v="1"/>
    <x v="10"/>
    <x v="16"/>
    <x v="9"/>
    <s v="Dermawan Waruwu"/>
    <s v="Ismaini Zain"/>
    <s v="Agnes Tuti rumiati"/>
    <s v="6119128202"/>
    <x v="168"/>
    <s v="-"/>
    <x v="2"/>
    <x v="1"/>
    <n v="72000000"/>
  </r>
  <r>
    <x v="1"/>
    <x v="10"/>
    <x v="102"/>
    <x v="9"/>
    <s v="Jane Melita Keliat"/>
    <s v="Irhamah"/>
    <s v="Setiawan"/>
    <s v="1604126604"/>
    <x v="169"/>
    <s v="-"/>
    <x v="2"/>
    <x v="2"/>
    <n v="74000000"/>
  </r>
  <r>
    <x v="1"/>
    <x v="14"/>
    <x v="144"/>
    <x v="17"/>
    <s v="Muhlis Ruslan"/>
    <s v="Madu Ratna"/>
    <s v="Irhamah"/>
    <s v="8418077502"/>
    <x v="170"/>
    <s v="-"/>
    <x v="2"/>
    <x v="0"/>
    <n v="72000000"/>
  </r>
  <r>
    <x v="1"/>
    <x v="6"/>
    <x v="145"/>
    <x v="9"/>
    <s v="Cahyana Nursidiq"/>
    <s v="Setiawan"/>
    <s v="Novri Suhermi"/>
    <s v="0430118102"/>
    <x v="171"/>
    <s v="-"/>
    <x v="2"/>
    <x v="2"/>
    <n v="63000000"/>
  </r>
  <r>
    <x v="1"/>
    <x v="1"/>
    <x v="146"/>
    <x v="9"/>
    <s v="Widarto"/>
    <s v="Diaz Fitria Aksioma"/>
    <s v="Novri Suhermi"/>
    <s v="2429028802"/>
    <x v="172"/>
    <s v="-"/>
    <x v="2"/>
    <x v="1"/>
    <n v="75000000"/>
  </r>
  <r>
    <x v="1"/>
    <x v="12"/>
    <x v="68"/>
    <x v="10"/>
    <s v="Ratna Dewi"/>
    <s v="Agus Suharsono"/>
    <s v="Agnes Tuti rumiati"/>
    <s v="2130048401"/>
    <x v="173"/>
    <s v="-"/>
    <x v="2"/>
    <x v="1"/>
    <n v="73000000"/>
  </r>
  <r>
    <x v="1"/>
    <x v="4"/>
    <x v="147"/>
    <x v="14"/>
    <s v="Ahsan Mardjudo"/>
    <s v="Vita Ratnasari"/>
    <s v="Muhammad Mashuri"/>
    <s v="8413028003"/>
    <x v="174"/>
    <s v="-"/>
    <x v="2"/>
    <x v="2"/>
    <n v="51000000"/>
  </r>
  <r>
    <x v="1"/>
    <x v="1"/>
    <x v="148"/>
    <x v="11"/>
    <s v="Nita Kusumawati"/>
    <s v="Erma Oktania P"/>
    <s v="Muhammad Mashuri"/>
    <s v="0430047203"/>
    <x v="175"/>
    <s v="-"/>
    <x v="2"/>
    <x v="3"/>
    <n v="67000000"/>
  </r>
  <r>
    <x v="1"/>
    <x v="7"/>
    <x v="127"/>
    <x v="9"/>
    <s v="Rohmana"/>
    <s v="Agnes Tuti rumiati"/>
    <s v="Heri Kuswanto"/>
    <s v="1122066502"/>
    <x v="176"/>
    <s v="-"/>
    <x v="2"/>
    <x v="1"/>
    <n v="70000000"/>
  </r>
  <r>
    <x v="1"/>
    <x v="0"/>
    <x v="149"/>
    <x v="9"/>
    <s v="Julinda Romauli Manullang"/>
    <s v="Shofi Andriani"/>
    <s v="Sutikno"/>
    <s v="0414126701"/>
    <x v="177"/>
    <s v="-"/>
    <x v="2"/>
    <x v="1"/>
    <n v="64000000"/>
  </r>
  <r>
    <x v="1"/>
    <x v="3"/>
    <x v="36"/>
    <x v="9"/>
    <s v="Ni Luh Adisti Abiyoga Wulandari"/>
    <s v="Heri Kuswanto"/>
    <s v="Wiwiek Setya Winahju"/>
    <s v="1021127901"/>
    <x v="178"/>
    <s v="-"/>
    <x v="2"/>
    <x v="0"/>
    <n v="65000000"/>
  </r>
  <r>
    <x v="1"/>
    <x v="2"/>
    <x v="130"/>
    <x v="12"/>
    <s v="Mukhlis"/>
    <s v="Wibawati"/>
    <s v="Shofi Andriani"/>
    <s v="5830098102"/>
    <x v="179"/>
    <s v="-"/>
    <x v="2"/>
    <x v="3"/>
    <n v="72000000"/>
  </r>
  <r>
    <x v="1"/>
    <x v="6"/>
    <x v="96"/>
    <x v="9"/>
    <s v="Wiyono"/>
    <s v="Wibawati"/>
    <s v="Erma Oktania P"/>
    <s v="3517077503"/>
    <x v="180"/>
    <s v="-"/>
    <x v="2"/>
    <x v="2"/>
    <n v="55000000"/>
  </r>
  <r>
    <x v="1"/>
    <x v="3"/>
    <x v="150"/>
    <x v="14"/>
    <s v="Devi Mulia Sari"/>
    <s v="Wibawati"/>
    <s v="Nur Iriawan"/>
    <s v="6102016702"/>
    <x v="181"/>
    <s v="-"/>
    <x v="2"/>
    <x v="3"/>
    <n v="70000000"/>
  </r>
  <r>
    <x v="1"/>
    <x v="4"/>
    <x v="151"/>
    <x v="9"/>
    <s v="Bambang Sugiantoro"/>
    <s v="Nur Iriawan"/>
    <s v="I Nyoman Budiantara"/>
    <s v="3928048802"/>
    <x v="182"/>
    <s v="-"/>
    <x v="2"/>
    <x v="1"/>
    <n v="59000000"/>
  </r>
  <r>
    <x v="1"/>
    <x v="11"/>
    <x v="152"/>
    <x v="10"/>
    <s v="Rahayu Retnaningsih"/>
    <s v="Wibawati"/>
    <s v="Wibawati"/>
    <s v="1718087502"/>
    <x v="183"/>
    <s v="-"/>
    <x v="2"/>
    <x v="1"/>
    <n v="65000000"/>
  </r>
  <r>
    <x v="1"/>
    <x v="12"/>
    <x v="153"/>
    <x v="9"/>
    <s v="I Wayan Windia"/>
    <s v="Bambang W Otok"/>
    <s v="Agus Suharsono"/>
    <s v="5808126801"/>
    <x v="184"/>
    <s v="-"/>
    <x v="2"/>
    <x v="2"/>
    <n v="73000000"/>
  </r>
  <r>
    <x v="1"/>
    <x v="10"/>
    <x v="28"/>
    <x v="9"/>
    <s v="Bagus Putu Wahyu Nirmala"/>
    <s v="Erma Oktania P"/>
    <s v="Shofi Andriani"/>
    <s v="1313038602"/>
    <x v="185"/>
    <s v="-"/>
    <x v="2"/>
    <x v="2"/>
    <n v="59000000"/>
  </r>
  <r>
    <x v="1"/>
    <x v="0"/>
    <x v="154"/>
    <x v="16"/>
    <s v="David Samiyono"/>
    <s v="Sjahid Akbar"/>
    <s v="Agnes Tuti rumiati"/>
    <s v="2713066501"/>
    <x v="186"/>
    <s v="-"/>
    <x v="2"/>
    <x v="3"/>
    <n v="66000000"/>
  </r>
  <r>
    <x v="1"/>
    <x v="9"/>
    <x v="109"/>
    <x v="9"/>
    <s v="Asgar Taiyeb"/>
    <s v="Dedy D Prastyo"/>
    <s v="Suhartono"/>
    <s v="7130098604"/>
    <x v="187"/>
    <s v="-"/>
    <x v="2"/>
    <x v="0"/>
    <n v="58000000"/>
  </r>
  <r>
    <x v="1"/>
    <x v="14"/>
    <x v="144"/>
    <x v="9"/>
    <s v="Haris Mahmud"/>
    <s v="Sjahid Akbar"/>
    <s v="Muhammad Mashuri"/>
    <s v="3417107901"/>
    <x v="188"/>
    <s v="-"/>
    <x v="2"/>
    <x v="1"/>
    <n v="72000000"/>
  </r>
  <r>
    <x v="1"/>
    <x v="6"/>
    <x v="155"/>
    <x v="12"/>
    <s v="Faiza Rini"/>
    <s v="Dedy D Prastyo"/>
    <s v="Wiwiek Setya Winahju"/>
    <s v="5828047304"/>
    <x v="189"/>
    <s v="-"/>
    <x v="2"/>
    <x v="3"/>
    <n v="52000000"/>
  </r>
  <r>
    <x v="1"/>
    <x v="0"/>
    <x v="156"/>
    <x v="14"/>
    <s v="Ni Nyoman Sri Astuti"/>
    <s v="Suhartono"/>
    <s v="Jerry Dwi T Purnomo"/>
    <s v="5003107704"/>
    <x v="190"/>
    <s v="-"/>
    <x v="2"/>
    <x v="1"/>
    <n v="70000000"/>
  </r>
  <r>
    <x v="1"/>
    <x v="11"/>
    <x v="157"/>
    <x v="9"/>
    <s v="Susanti Sundari"/>
    <s v="Erma Oktania P"/>
    <s v="I Nyoman Budiantara"/>
    <s v="8618027503"/>
    <x v="191"/>
    <s v="-"/>
    <x v="2"/>
    <x v="2"/>
    <n v="61000000"/>
  </r>
  <r>
    <x v="1"/>
    <x v="10"/>
    <x v="102"/>
    <x v="10"/>
    <s v="Rucitra Widyasari"/>
    <s v="Purhadi"/>
    <s v="I Nyoman Budiantara"/>
    <s v="8229126904"/>
    <x v="192"/>
    <s v="-"/>
    <x v="2"/>
    <x v="0"/>
    <n v="72000000"/>
  </r>
  <r>
    <x v="1"/>
    <x v="7"/>
    <x v="27"/>
    <x v="10"/>
    <s v="Ahmad Kholil"/>
    <s v="Heri Kuswanto"/>
    <s v="Dedy D Prastyo"/>
    <s v="0823128403"/>
    <x v="193"/>
    <s v="-"/>
    <x v="2"/>
    <x v="0"/>
    <n v="66000000"/>
  </r>
  <r>
    <x v="1"/>
    <x v="9"/>
    <x v="158"/>
    <x v="9"/>
    <s v="Noor Cholis Basjaruddin"/>
    <s v="Ismaini Zain"/>
    <s v="Dedy D Prastyo"/>
    <s v="7923028004"/>
    <x v="194"/>
    <s v="-"/>
    <x v="2"/>
    <x v="1"/>
    <n v="50000000"/>
  </r>
  <r>
    <x v="1"/>
    <x v="10"/>
    <x v="132"/>
    <x v="12"/>
    <s v="Sutoyo"/>
    <s v="Purhadi"/>
    <s v="Vita Ratnasari"/>
    <s v="3319067504"/>
    <x v="195"/>
    <s v="-"/>
    <x v="2"/>
    <x v="2"/>
    <n v="75000000"/>
  </r>
  <r>
    <x v="1"/>
    <x v="12"/>
    <x v="68"/>
    <x v="11"/>
    <s v="Veince B Silahooy"/>
    <s v="Shofi Andriani"/>
    <s v="I Nyoman Budiantara"/>
    <s v="6002096702"/>
    <x v="196"/>
    <s v="-"/>
    <x v="2"/>
    <x v="3"/>
    <n v="55000000"/>
  </r>
  <r>
    <x v="1"/>
    <x v="12"/>
    <x v="90"/>
    <x v="9"/>
    <s v="Zulkifli Poli"/>
    <s v="Santi Wulan Purnami"/>
    <s v="Sjahid Akbar"/>
    <s v="6615116602"/>
    <x v="197"/>
    <s v="-"/>
    <x v="2"/>
    <x v="2"/>
    <n v="62000000"/>
  </r>
  <r>
    <x v="1"/>
    <x v="1"/>
    <x v="11"/>
    <x v="9"/>
    <s v="Andreas Wahyu Krisdiarto"/>
    <s v="Dedy D Prastyo"/>
    <s v="Muhammad Mashuri"/>
    <s v="5612128002"/>
    <x v="198"/>
    <s v="-"/>
    <x v="2"/>
    <x v="1"/>
    <n v="67000000"/>
  </r>
  <r>
    <x v="1"/>
    <x v="9"/>
    <x v="159"/>
    <x v="11"/>
    <s v="Ni Nyoman Candraasih K"/>
    <s v="Sjahid Akbar"/>
    <s v="Heri Kuswanto"/>
    <s v="1918017304"/>
    <x v="199"/>
    <s v="-"/>
    <x v="2"/>
    <x v="2"/>
    <n v="62000000"/>
  </r>
</pivotCacheRecords>
</file>

<file path=xl/pivotCache/pivotCacheRecords2.xml><?xml version="1.0" encoding="utf-8"?>
<pivotCacheRecords xmlns="http://schemas.openxmlformats.org/spreadsheetml/2006/main" xmlns:r="http://schemas.openxmlformats.org/officeDocument/2006/relationships" count="600">
  <r>
    <x v="0"/>
    <x v="0"/>
    <x v="0"/>
    <x v="0"/>
  </r>
  <r>
    <x v="0"/>
    <x v="0"/>
    <x v="1"/>
    <x v="1"/>
  </r>
  <r>
    <x v="0"/>
    <x v="0"/>
    <x v="2"/>
    <x v="2"/>
  </r>
  <r>
    <x v="0"/>
    <x v="0"/>
    <x v="0"/>
    <x v="3"/>
  </r>
  <r>
    <x v="0"/>
    <x v="1"/>
    <x v="0"/>
    <x v="4"/>
  </r>
  <r>
    <x v="0"/>
    <x v="0"/>
    <x v="0"/>
    <x v="5"/>
  </r>
  <r>
    <x v="0"/>
    <x v="0"/>
    <x v="1"/>
    <x v="6"/>
  </r>
  <r>
    <x v="0"/>
    <x v="0"/>
    <x v="1"/>
    <x v="7"/>
  </r>
  <r>
    <x v="0"/>
    <x v="0"/>
    <x v="1"/>
    <x v="8"/>
  </r>
  <r>
    <x v="0"/>
    <x v="0"/>
    <x v="2"/>
    <x v="9"/>
  </r>
  <r>
    <x v="0"/>
    <x v="0"/>
    <x v="0"/>
    <x v="10"/>
  </r>
  <r>
    <x v="0"/>
    <x v="0"/>
    <x v="0"/>
    <x v="11"/>
  </r>
  <r>
    <x v="0"/>
    <x v="0"/>
    <x v="1"/>
    <x v="12"/>
  </r>
  <r>
    <x v="0"/>
    <x v="2"/>
    <x v="2"/>
    <x v="13"/>
  </r>
  <r>
    <x v="0"/>
    <x v="0"/>
    <x v="3"/>
    <x v="14"/>
  </r>
  <r>
    <x v="0"/>
    <x v="2"/>
    <x v="1"/>
    <x v="15"/>
  </r>
  <r>
    <x v="0"/>
    <x v="0"/>
    <x v="3"/>
    <x v="16"/>
  </r>
  <r>
    <x v="0"/>
    <x v="0"/>
    <x v="2"/>
    <x v="17"/>
  </r>
  <r>
    <x v="0"/>
    <x v="0"/>
    <x v="3"/>
    <x v="18"/>
  </r>
  <r>
    <x v="0"/>
    <x v="0"/>
    <x v="2"/>
    <x v="19"/>
  </r>
  <r>
    <x v="0"/>
    <x v="0"/>
    <x v="3"/>
    <x v="20"/>
  </r>
  <r>
    <x v="0"/>
    <x v="0"/>
    <x v="1"/>
    <x v="21"/>
  </r>
  <r>
    <x v="0"/>
    <x v="0"/>
    <x v="1"/>
    <x v="22"/>
  </r>
  <r>
    <x v="0"/>
    <x v="0"/>
    <x v="1"/>
    <x v="23"/>
  </r>
  <r>
    <x v="0"/>
    <x v="0"/>
    <x v="2"/>
    <x v="24"/>
  </r>
  <r>
    <x v="0"/>
    <x v="0"/>
    <x v="1"/>
    <x v="25"/>
  </r>
  <r>
    <x v="0"/>
    <x v="3"/>
    <x v="1"/>
    <x v="26"/>
  </r>
  <r>
    <x v="0"/>
    <x v="0"/>
    <x v="3"/>
    <x v="27"/>
  </r>
  <r>
    <x v="0"/>
    <x v="0"/>
    <x v="3"/>
    <x v="28"/>
  </r>
  <r>
    <x v="0"/>
    <x v="2"/>
    <x v="1"/>
    <x v="29"/>
  </r>
  <r>
    <x v="0"/>
    <x v="2"/>
    <x v="0"/>
    <x v="30"/>
  </r>
  <r>
    <x v="0"/>
    <x v="2"/>
    <x v="1"/>
    <x v="31"/>
  </r>
  <r>
    <x v="0"/>
    <x v="4"/>
    <x v="1"/>
    <x v="32"/>
  </r>
  <r>
    <x v="0"/>
    <x v="0"/>
    <x v="1"/>
    <x v="33"/>
  </r>
  <r>
    <x v="0"/>
    <x v="0"/>
    <x v="1"/>
    <x v="34"/>
  </r>
  <r>
    <x v="0"/>
    <x v="3"/>
    <x v="0"/>
    <x v="35"/>
  </r>
  <r>
    <x v="0"/>
    <x v="0"/>
    <x v="3"/>
    <x v="36"/>
  </r>
  <r>
    <x v="0"/>
    <x v="2"/>
    <x v="3"/>
    <x v="37"/>
  </r>
  <r>
    <x v="0"/>
    <x v="0"/>
    <x v="1"/>
    <x v="38"/>
  </r>
  <r>
    <x v="0"/>
    <x v="5"/>
    <x v="3"/>
    <x v="39"/>
  </r>
  <r>
    <x v="0"/>
    <x v="0"/>
    <x v="0"/>
    <x v="40"/>
  </r>
  <r>
    <x v="0"/>
    <x v="0"/>
    <x v="0"/>
    <x v="41"/>
  </r>
  <r>
    <x v="0"/>
    <x v="0"/>
    <x v="3"/>
    <x v="42"/>
  </r>
  <r>
    <x v="0"/>
    <x v="6"/>
    <x v="0"/>
    <x v="43"/>
  </r>
  <r>
    <x v="0"/>
    <x v="3"/>
    <x v="2"/>
    <x v="44"/>
  </r>
  <r>
    <x v="0"/>
    <x v="0"/>
    <x v="1"/>
    <x v="45"/>
  </r>
  <r>
    <x v="0"/>
    <x v="0"/>
    <x v="2"/>
    <x v="46"/>
  </r>
  <r>
    <x v="0"/>
    <x v="2"/>
    <x v="1"/>
    <x v="47"/>
  </r>
  <r>
    <x v="0"/>
    <x v="0"/>
    <x v="0"/>
    <x v="48"/>
  </r>
  <r>
    <x v="0"/>
    <x v="7"/>
    <x v="1"/>
    <x v="49"/>
  </r>
  <r>
    <x v="0"/>
    <x v="0"/>
    <x v="0"/>
    <x v="50"/>
  </r>
  <r>
    <x v="0"/>
    <x v="2"/>
    <x v="2"/>
    <x v="51"/>
  </r>
  <r>
    <x v="0"/>
    <x v="0"/>
    <x v="3"/>
    <x v="52"/>
  </r>
  <r>
    <x v="0"/>
    <x v="0"/>
    <x v="1"/>
    <x v="53"/>
  </r>
  <r>
    <x v="0"/>
    <x v="2"/>
    <x v="1"/>
    <x v="54"/>
  </r>
  <r>
    <x v="0"/>
    <x v="2"/>
    <x v="2"/>
    <x v="55"/>
  </r>
  <r>
    <x v="0"/>
    <x v="4"/>
    <x v="0"/>
    <x v="56"/>
  </r>
  <r>
    <x v="0"/>
    <x v="0"/>
    <x v="2"/>
    <x v="57"/>
  </r>
  <r>
    <x v="0"/>
    <x v="8"/>
    <x v="3"/>
    <x v="58"/>
  </r>
  <r>
    <x v="0"/>
    <x v="0"/>
    <x v="0"/>
    <x v="59"/>
  </r>
  <r>
    <x v="0"/>
    <x v="6"/>
    <x v="0"/>
    <x v="60"/>
  </r>
  <r>
    <x v="0"/>
    <x v="4"/>
    <x v="0"/>
    <x v="61"/>
  </r>
  <r>
    <x v="0"/>
    <x v="0"/>
    <x v="2"/>
    <x v="62"/>
  </r>
  <r>
    <x v="0"/>
    <x v="8"/>
    <x v="2"/>
    <x v="63"/>
  </r>
  <r>
    <x v="0"/>
    <x v="3"/>
    <x v="1"/>
    <x v="64"/>
  </r>
  <r>
    <x v="0"/>
    <x v="6"/>
    <x v="0"/>
    <x v="65"/>
  </r>
  <r>
    <x v="0"/>
    <x v="0"/>
    <x v="2"/>
    <x v="66"/>
  </r>
  <r>
    <x v="0"/>
    <x v="0"/>
    <x v="2"/>
    <x v="67"/>
  </r>
  <r>
    <x v="0"/>
    <x v="6"/>
    <x v="3"/>
    <x v="68"/>
  </r>
  <r>
    <x v="0"/>
    <x v="0"/>
    <x v="3"/>
    <x v="69"/>
  </r>
  <r>
    <x v="0"/>
    <x v="0"/>
    <x v="3"/>
    <x v="70"/>
  </r>
  <r>
    <x v="0"/>
    <x v="0"/>
    <x v="3"/>
    <x v="71"/>
  </r>
  <r>
    <x v="0"/>
    <x v="2"/>
    <x v="0"/>
    <x v="72"/>
  </r>
  <r>
    <x v="0"/>
    <x v="0"/>
    <x v="0"/>
    <x v="73"/>
  </r>
  <r>
    <x v="0"/>
    <x v="0"/>
    <x v="1"/>
    <x v="74"/>
  </r>
  <r>
    <x v="0"/>
    <x v="0"/>
    <x v="3"/>
    <x v="75"/>
  </r>
  <r>
    <x v="0"/>
    <x v="0"/>
    <x v="0"/>
    <x v="76"/>
  </r>
  <r>
    <x v="0"/>
    <x v="0"/>
    <x v="0"/>
    <x v="77"/>
  </r>
  <r>
    <x v="0"/>
    <x v="3"/>
    <x v="0"/>
    <x v="78"/>
  </r>
  <r>
    <x v="0"/>
    <x v="2"/>
    <x v="3"/>
    <x v="79"/>
  </r>
  <r>
    <x v="0"/>
    <x v="4"/>
    <x v="3"/>
    <x v="80"/>
  </r>
  <r>
    <x v="0"/>
    <x v="0"/>
    <x v="3"/>
    <x v="81"/>
  </r>
  <r>
    <x v="0"/>
    <x v="0"/>
    <x v="3"/>
    <x v="82"/>
  </r>
  <r>
    <x v="0"/>
    <x v="0"/>
    <x v="0"/>
    <x v="83"/>
  </r>
  <r>
    <x v="0"/>
    <x v="0"/>
    <x v="2"/>
    <x v="84"/>
  </r>
  <r>
    <x v="0"/>
    <x v="0"/>
    <x v="0"/>
    <x v="85"/>
  </r>
  <r>
    <x v="0"/>
    <x v="0"/>
    <x v="3"/>
    <x v="86"/>
  </r>
  <r>
    <x v="0"/>
    <x v="0"/>
    <x v="3"/>
    <x v="87"/>
  </r>
  <r>
    <x v="0"/>
    <x v="8"/>
    <x v="3"/>
    <x v="88"/>
  </r>
  <r>
    <x v="0"/>
    <x v="0"/>
    <x v="2"/>
    <x v="89"/>
  </r>
  <r>
    <x v="0"/>
    <x v="8"/>
    <x v="1"/>
    <x v="90"/>
  </r>
  <r>
    <x v="0"/>
    <x v="0"/>
    <x v="0"/>
    <x v="91"/>
  </r>
  <r>
    <x v="0"/>
    <x v="2"/>
    <x v="1"/>
    <x v="37"/>
  </r>
  <r>
    <x v="0"/>
    <x v="0"/>
    <x v="2"/>
    <x v="92"/>
  </r>
  <r>
    <x v="0"/>
    <x v="0"/>
    <x v="3"/>
    <x v="93"/>
  </r>
  <r>
    <x v="0"/>
    <x v="0"/>
    <x v="3"/>
    <x v="94"/>
  </r>
  <r>
    <x v="0"/>
    <x v="0"/>
    <x v="3"/>
    <x v="95"/>
  </r>
  <r>
    <x v="0"/>
    <x v="8"/>
    <x v="2"/>
    <x v="96"/>
  </r>
  <r>
    <x v="0"/>
    <x v="0"/>
    <x v="3"/>
    <x v="97"/>
  </r>
  <r>
    <x v="0"/>
    <x v="2"/>
    <x v="2"/>
    <x v="98"/>
  </r>
  <r>
    <x v="1"/>
    <x v="9"/>
    <x v="3"/>
    <x v="66"/>
  </r>
  <r>
    <x v="1"/>
    <x v="10"/>
    <x v="0"/>
    <x v="99"/>
  </r>
  <r>
    <x v="1"/>
    <x v="11"/>
    <x v="1"/>
    <x v="100"/>
  </r>
  <r>
    <x v="1"/>
    <x v="11"/>
    <x v="2"/>
    <x v="101"/>
  </r>
  <r>
    <x v="1"/>
    <x v="12"/>
    <x v="0"/>
    <x v="102"/>
  </r>
  <r>
    <x v="1"/>
    <x v="9"/>
    <x v="1"/>
    <x v="103"/>
  </r>
  <r>
    <x v="1"/>
    <x v="13"/>
    <x v="1"/>
    <x v="104"/>
  </r>
  <r>
    <x v="1"/>
    <x v="12"/>
    <x v="3"/>
    <x v="105"/>
  </r>
  <r>
    <x v="1"/>
    <x v="11"/>
    <x v="0"/>
    <x v="106"/>
  </r>
  <r>
    <x v="1"/>
    <x v="9"/>
    <x v="2"/>
    <x v="107"/>
  </r>
  <r>
    <x v="1"/>
    <x v="9"/>
    <x v="3"/>
    <x v="108"/>
  </r>
  <r>
    <x v="1"/>
    <x v="12"/>
    <x v="2"/>
    <x v="109"/>
  </r>
  <r>
    <x v="1"/>
    <x v="9"/>
    <x v="3"/>
    <x v="110"/>
  </r>
  <r>
    <x v="1"/>
    <x v="12"/>
    <x v="3"/>
    <x v="111"/>
  </r>
  <r>
    <x v="1"/>
    <x v="12"/>
    <x v="0"/>
    <x v="112"/>
  </r>
  <r>
    <x v="1"/>
    <x v="14"/>
    <x v="2"/>
    <x v="113"/>
  </r>
  <r>
    <x v="1"/>
    <x v="9"/>
    <x v="1"/>
    <x v="114"/>
  </r>
  <r>
    <x v="1"/>
    <x v="15"/>
    <x v="0"/>
    <x v="115"/>
  </r>
  <r>
    <x v="1"/>
    <x v="12"/>
    <x v="3"/>
    <x v="116"/>
  </r>
  <r>
    <x v="1"/>
    <x v="9"/>
    <x v="2"/>
    <x v="117"/>
  </r>
  <r>
    <x v="1"/>
    <x v="9"/>
    <x v="0"/>
    <x v="118"/>
  </r>
  <r>
    <x v="1"/>
    <x v="16"/>
    <x v="0"/>
    <x v="119"/>
  </r>
  <r>
    <x v="1"/>
    <x v="9"/>
    <x v="1"/>
    <x v="120"/>
  </r>
  <r>
    <x v="1"/>
    <x v="14"/>
    <x v="3"/>
    <x v="121"/>
  </r>
  <r>
    <x v="1"/>
    <x v="12"/>
    <x v="1"/>
    <x v="122"/>
  </r>
  <r>
    <x v="1"/>
    <x v="15"/>
    <x v="1"/>
    <x v="123"/>
  </r>
  <r>
    <x v="1"/>
    <x v="12"/>
    <x v="1"/>
    <x v="124"/>
  </r>
  <r>
    <x v="1"/>
    <x v="11"/>
    <x v="2"/>
    <x v="125"/>
  </r>
  <r>
    <x v="1"/>
    <x v="12"/>
    <x v="1"/>
    <x v="126"/>
  </r>
  <r>
    <x v="1"/>
    <x v="12"/>
    <x v="3"/>
    <x v="127"/>
  </r>
  <r>
    <x v="1"/>
    <x v="12"/>
    <x v="3"/>
    <x v="128"/>
  </r>
  <r>
    <x v="1"/>
    <x v="9"/>
    <x v="1"/>
    <x v="129"/>
  </r>
  <r>
    <x v="1"/>
    <x v="9"/>
    <x v="1"/>
    <x v="130"/>
  </r>
  <r>
    <x v="1"/>
    <x v="9"/>
    <x v="2"/>
    <x v="131"/>
  </r>
  <r>
    <x v="1"/>
    <x v="15"/>
    <x v="1"/>
    <x v="132"/>
  </r>
  <r>
    <x v="1"/>
    <x v="9"/>
    <x v="2"/>
    <x v="133"/>
  </r>
  <r>
    <x v="1"/>
    <x v="16"/>
    <x v="2"/>
    <x v="134"/>
  </r>
  <r>
    <x v="1"/>
    <x v="9"/>
    <x v="1"/>
    <x v="135"/>
  </r>
  <r>
    <x v="1"/>
    <x v="11"/>
    <x v="0"/>
    <x v="136"/>
  </r>
  <r>
    <x v="1"/>
    <x v="12"/>
    <x v="1"/>
    <x v="137"/>
  </r>
  <r>
    <x v="1"/>
    <x v="9"/>
    <x v="3"/>
    <x v="138"/>
  </r>
  <r>
    <x v="1"/>
    <x v="14"/>
    <x v="1"/>
    <x v="139"/>
  </r>
  <r>
    <x v="1"/>
    <x v="9"/>
    <x v="1"/>
    <x v="140"/>
  </r>
  <r>
    <x v="1"/>
    <x v="9"/>
    <x v="3"/>
    <x v="141"/>
  </r>
  <r>
    <x v="1"/>
    <x v="9"/>
    <x v="3"/>
    <x v="142"/>
  </r>
  <r>
    <x v="1"/>
    <x v="12"/>
    <x v="2"/>
    <x v="143"/>
  </r>
  <r>
    <x v="1"/>
    <x v="9"/>
    <x v="2"/>
    <x v="144"/>
  </r>
  <r>
    <x v="1"/>
    <x v="9"/>
    <x v="1"/>
    <x v="145"/>
  </r>
  <r>
    <x v="1"/>
    <x v="14"/>
    <x v="3"/>
    <x v="146"/>
  </r>
  <r>
    <x v="1"/>
    <x v="9"/>
    <x v="0"/>
    <x v="147"/>
  </r>
  <r>
    <x v="1"/>
    <x v="9"/>
    <x v="1"/>
    <x v="148"/>
  </r>
  <r>
    <x v="1"/>
    <x v="13"/>
    <x v="0"/>
    <x v="149"/>
  </r>
  <r>
    <x v="1"/>
    <x v="12"/>
    <x v="3"/>
    <x v="150"/>
  </r>
  <r>
    <x v="1"/>
    <x v="12"/>
    <x v="3"/>
    <x v="151"/>
  </r>
  <r>
    <x v="1"/>
    <x v="9"/>
    <x v="2"/>
    <x v="152"/>
  </r>
  <r>
    <x v="1"/>
    <x v="9"/>
    <x v="3"/>
    <x v="153"/>
  </r>
  <r>
    <x v="1"/>
    <x v="12"/>
    <x v="0"/>
    <x v="154"/>
  </r>
  <r>
    <x v="1"/>
    <x v="9"/>
    <x v="1"/>
    <x v="155"/>
  </r>
  <r>
    <x v="1"/>
    <x v="12"/>
    <x v="1"/>
    <x v="156"/>
  </r>
  <r>
    <x v="1"/>
    <x v="9"/>
    <x v="3"/>
    <x v="157"/>
  </r>
  <r>
    <x v="1"/>
    <x v="11"/>
    <x v="2"/>
    <x v="158"/>
  </r>
  <r>
    <x v="1"/>
    <x v="9"/>
    <x v="3"/>
    <x v="159"/>
  </r>
  <r>
    <x v="1"/>
    <x v="12"/>
    <x v="0"/>
    <x v="160"/>
  </r>
  <r>
    <x v="1"/>
    <x v="13"/>
    <x v="3"/>
    <x v="161"/>
  </r>
  <r>
    <x v="1"/>
    <x v="9"/>
    <x v="0"/>
    <x v="162"/>
  </r>
  <r>
    <x v="1"/>
    <x v="9"/>
    <x v="0"/>
    <x v="163"/>
  </r>
  <r>
    <x v="1"/>
    <x v="12"/>
    <x v="3"/>
    <x v="164"/>
  </r>
  <r>
    <x v="1"/>
    <x v="9"/>
    <x v="3"/>
    <x v="165"/>
  </r>
  <r>
    <x v="1"/>
    <x v="9"/>
    <x v="1"/>
    <x v="166"/>
  </r>
  <r>
    <x v="1"/>
    <x v="9"/>
    <x v="2"/>
    <x v="167"/>
  </r>
  <r>
    <x v="1"/>
    <x v="17"/>
    <x v="0"/>
    <x v="168"/>
  </r>
  <r>
    <x v="1"/>
    <x v="9"/>
    <x v="2"/>
    <x v="169"/>
  </r>
  <r>
    <x v="1"/>
    <x v="9"/>
    <x v="1"/>
    <x v="170"/>
  </r>
  <r>
    <x v="1"/>
    <x v="10"/>
    <x v="1"/>
    <x v="171"/>
  </r>
  <r>
    <x v="1"/>
    <x v="14"/>
    <x v="2"/>
    <x v="172"/>
  </r>
  <r>
    <x v="1"/>
    <x v="11"/>
    <x v="3"/>
    <x v="173"/>
  </r>
  <r>
    <x v="1"/>
    <x v="9"/>
    <x v="1"/>
    <x v="174"/>
  </r>
  <r>
    <x v="1"/>
    <x v="9"/>
    <x v="1"/>
    <x v="175"/>
  </r>
  <r>
    <x v="1"/>
    <x v="9"/>
    <x v="0"/>
    <x v="176"/>
  </r>
  <r>
    <x v="1"/>
    <x v="12"/>
    <x v="3"/>
    <x v="177"/>
  </r>
  <r>
    <x v="1"/>
    <x v="9"/>
    <x v="2"/>
    <x v="178"/>
  </r>
  <r>
    <x v="1"/>
    <x v="14"/>
    <x v="3"/>
    <x v="179"/>
  </r>
  <r>
    <x v="1"/>
    <x v="9"/>
    <x v="1"/>
    <x v="180"/>
  </r>
  <r>
    <x v="1"/>
    <x v="10"/>
    <x v="1"/>
    <x v="181"/>
  </r>
  <r>
    <x v="1"/>
    <x v="9"/>
    <x v="2"/>
    <x v="182"/>
  </r>
  <r>
    <x v="1"/>
    <x v="9"/>
    <x v="2"/>
    <x v="183"/>
  </r>
  <r>
    <x v="1"/>
    <x v="16"/>
    <x v="3"/>
    <x v="184"/>
  </r>
  <r>
    <x v="1"/>
    <x v="9"/>
    <x v="0"/>
    <x v="185"/>
  </r>
  <r>
    <x v="1"/>
    <x v="9"/>
    <x v="1"/>
    <x v="186"/>
  </r>
  <r>
    <x v="1"/>
    <x v="12"/>
    <x v="3"/>
    <x v="187"/>
  </r>
  <r>
    <x v="1"/>
    <x v="14"/>
    <x v="1"/>
    <x v="188"/>
  </r>
  <r>
    <x v="1"/>
    <x v="9"/>
    <x v="2"/>
    <x v="189"/>
  </r>
  <r>
    <x v="1"/>
    <x v="10"/>
    <x v="0"/>
    <x v="190"/>
  </r>
  <r>
    <x v="1"/>
    <x v="10"/>
    <x v="0"/>
    <x v="191"/>
  </r>
  <r>
    <x v="1"/>
    <x v="9"/>
    <x v="1"/>
    <x v="192"/>
  </r>
  <r>
    <x v="1"/>
    <x v="12"/>
    <x v="2"/>
    <x v="193"/>
  </r>
  <r>
    <x v="1"/>
    <x v="11"/>
    <x v="3"/>
    <x v="194"/>
  </r>
  <r>
    <x v="1"/>
    <x v="9"/>
    <x v="2"/>
    <x v="195"/>
  </r>
  <r>
    <x v="1"/>
    <x v="9"/>
    <x v="1"/>
    <x v="196"/>
  </r>
  <r>
    <x v="1"/>
    <x v="11"/>
    <x v="2"/>
    <x v="197"/>
  </r>
  <r>
    <x v="0"/>
    <x v="0"/>
    <x v="0"/>
    <x v="198"/>
  </r>
  <r>
    <x v="0"/>
    <x v="0"/>
    <x v="1"/>
    <x v="199"/>
  </r>
  <r>
    <x v="0"/>
    <x v="0"/>
    <x v="2"/>
    <x v="200"/>
  </r>
  <r>
    <x v="0"/>
    <x v="0"/>
    <x v="0"/>
    <x v="201"/>
  </r>
  <r>
    <x v="0"/>
    <x v="1"/>
    <x v="0"/>
    <x v="202"/>
  </r>
  <r>
    <x v="0"/>
    <x v="0"/>
    <x v="0"/>
    <x v="203"/>
  </r>
  <r>
    <x v="0"/>
    <x v="0"/>
    <x v="1"/>
    <x v="204"/>
  </r>
  <r>
    <x v="0"/>
    <x v="0"/>
    <x v="1"/>
    <x v="205"/>
  </r>
  <r>
    <x v="0"/>
    <x v="0"/>
    <x v="1"/>
    <x v="206"/>
  </r>
  <r>
    <x v="0"/>
    <x v="0"/>
    <x v="2"/>
    <x v="207"/>
  </r>
  <r>
    <x v="0"/>
    <x v="0"/>
    <x v="0"/>
    <x v="208"/>
  </r>
  <r>
    <x v="0"/>
    <x v="0"/>
    <x v="0"/>
    <x v="202"/>
  </r>
  <r>
    <x v="0"/>
    <x v="0"/>
    <x v="1"/>
    <x v="199"/>
  </r>
  <r>
    <x v="0"/>
    <x v="2"/>
    <x v="2"/>
    <x v="204"/>
  </r>
  <r>
    <x v="0"/>
    <x v="0"/>
    <x v="3"/>
    <x v="209"/>
  </r>
  <r>
    <x v="0"/>
    <x v="2"/>
    <x v="1"/>
    <x v="198"/>
  </r>
  <r>
    <x v="0"/>
    <x v="0"/>
    <x v="3"/>
    <x v="198"/>
  </r>
  <r>
    <x v="0"/>
    <x v="0"/>
    <x v="2"/>
    <x v="210"/>
  </r>
  <r>
    <x v="0"/>
    <x v="0"/>
    <x v="3"/>
    <x v="211"/>
  </r>
  <r>
    <x v="0"/>
    <x v="0"/>
    <x v="2"/>
    <x v="212"/>
  </r>
  <r>
    <x v="0"/>
    <x v="0"/>
    <x v="3"/>
    <x v="213"/>
  </r>
  <r>
    <x v="0"/>
    <x v="0"/>
    <x v="1"/>
    <x v="208"/>
  </r>
  <r>
    <x v="0"/>
    <x v="0"/>
    <x v="1"/>
    <x v="202"/>
  </r>
  <r>
    <x v="0"/>
    <x v="0"/>
    <x v="1"/>
    <x v="207"/>
  </r>
  <r>
    <x v="0"/>
    <x v="0"/>
    <x v="2"/>
    <x v="205"/>
  </r>
  <r>
    <x v="0"/>
    <x v="0"/>
    <x v="1"/>
    <x v="209"/>
  </r>
  <r>
    <x v="0"/>
    <x v="3"/>
    <x v="1"/>
    <x v="210"/>
  </r>
  <r>
    <x v="0"/>
    <x v="0"/>
    <x v="3"/>
    <x v="198"/>
  </r>
  <r>
    <x v="0"/>
    <x v="0"/>
    <x v="3"/>
    <x v="203"/>
  </r>
  <r>
    <x v="0"/>
    <x v="2"/>
    <x v="1"/>
    <x v="203"/>
  </r>
  <r>
    <x v="0"/>
    <x v="2"/>
    <x v="0"/>
    <x v="214"/>
  </r>
  <r>
    <x v="0"/>
    <x v="2"/>
    <x v="1"/>
    <x v="215"/>
  </r>
  <r>
    <x v="0"/>
    <x v="4"/>
    <x v="1"/>
    <x v="216"/>
  </r>
  <r>
    <x v="0"/>
    <x v="0"/>
    <x v="1"/>
    <x v="217"/>
  </r>
  <r>
    <x v="0"/>
    <x v="0"/>
    <x v="1"/>
    <x v="213"/>
  </r>
  <r>
    <x v="0"/>
    <x v="3"/>
    <x v="0"/>
    <x v="214"/>
  </r>
  <r>
    <x v="0"/>
    <x v="0"/>
    <x v="3"/>
    <x v="211"/>
  </r>
  <r>
    <x v="0"/>
    <x v="2"/>
    <x v="3"/>
    <x v="208"/>
  </r>
  <r>
    <x v="0"/>
    <x v="0"/>
    <x v="1"/>
    <x v="216"/>
  </r>
  <r>
    <x v="0"/>
    <x v="5"/>
    <x v="3"/>
    <x v="203"/>
  </r>
  <r>
    <x v="0"/>
    <x v="0"/>
    <x v="0"/>
    <x v="214"/>
  </r>
  <r>
    <x v="0"/>
    <x v="0"/>
    <x v="0"/>
    <x v="209"/>
  </r>
  <r>
    <x v="0"/>
    <x v="0"/>
    <x v="3"/>
    <x v="218"/>
  </r>
  <r>
    <x v="0"/>
    <x v="6"/>
    <x v="0"/>
    <x v="203"/>
  </r>
  <r>
    <x v="0"/>
    <x v="3"/>
    <x v="2"/>
    <x v="205"/>
  </r>
  <r>
    <x v="0"/>
    <x v="0"/>
    <x v="1"/>
    <x v="198"/>
  </r>
  <r>
    <x v="0"/>
    <x v="0"/>
    <x v="2"/>
    <x v="219"/>
  </r>
  <r>
    <x v="0"/>
    <x v="2"/>
    <x v="1"/>
    <x v="215"/>
  </r>
  <r>
    <x v="0"/>
    <x v="0"/>
    <x v="0"/>
    <x v="220"/>
  </r>
  <r>
    <x v="0"/>
    <x v="7"/>
    <x v="1"/>
    <x v="212"/>
  </r>
  <r>
    <x v="0"/>
    <x v="0"/>
    <x v="0"/>
    <x v="221"/>
  </r>
  <r>
    <x v="0"/>
    <x v="2"/>
    <x v="2"/>
    <x v="222"/>
  </r>
  <r>
    <x v="0"/>
    <x v="0"/>
    <x v="3"/>
    <x v="223"/>
  </r>
  <r>
    <x v="0"/>
    <x v="0"/>
    <x v="1"/>
    <x v="224"/>
  </r>
  <r>
    <x v="0"/>
    <x v="2"/>
    <x v="1"/>
    <x v="219"/>
  </r>
  <r>
    <x v="0"/>
    <x v="2"/>
    <x v="2"/>
    <x v="218"/>
  </r>
  <r>
    <x v="0"/>
    <x v="4"/>
    <x v="0"/>
    <x v="218"/>
  </r>
  <r>
    <x v="0"/>
    <x v="0"/>
    <x v="2"/>
    <x v="214"/>
  </r>
  <r>
    <x v="0"/>
    <x v="8"/>
    <x v="3"/>
    <x v="224"/>
  </r>
  <r>
    <x v="0"/>
    <x v="0"/>
    <x v="0"/>
    <x v="216"/>
  </r>
  <r>
    <x v="0"/>
    <x v="6"/>
    <x v="0"/>
    <x v="219"/>
  </r>
  <r>
    <x v="0"/>
    <x v="4"/>
    <x v="0"/>
    <x v="224"/>
  </r>
  <r>
    <x v="0"/>
    <x v="0"/>
    <x v="2"/>
    <x v="211"/>
  </r>
  <r>
    <x v="0"/>
    <x v="8"/>
    <x v="2"/>
    <x v="217"/>
  </r>
  <r>
    <x v="0"/>
    <x v="3"/>
    <x v="1"/>
    <x v="222"/>
  </r>
  <r>
    <x v="0"/>
    <x v="6"/>
    <x v="0"/>
    <x v="198"/>
  </r>
  <r>
    <x v="0"/>
    <x v="0"/>
    <x v="2"/>
    <x v="209"/>
  </r>
  <r>
    <x v="0"/>
    <x v="0"/>
    <x v="2"/>
    <x v="199"/>
  </r>
  <r>
    <x v="0"/>
    <x v="6"/>
    <x v="3"/>
    <x v="218"/>
  </r>
  <r>
    <x v="0"/>
    <x v="0"/>
    <x v="3"/>
    <x v="209"/>
  </r>
  <r>
    <x v="0"/>
    <x v="0"/>
    <x v="3"/>
    <x v="213"/>
  </r>
  <r>
    <x v="0"/>
    <x v="0"/>
    <x v="3"/>
    <x v="212"/>
  </r>
  <r>
    <x v="0"/>
    <x v="2"/>
    <x v="0"/>
    <x v="219"/>
  </r>
  <r>
    <x v="0"/>
    <x v="0"/>
    <x v="0"/>
    <x v="221"/>
  </r>
  <r>
    <x v="0"/>
    <x v="0"/>
    <x v="1"/>
    <x v="202"/>
  </r>
  <r>
    <x v="0"/>
    <x v="0"/>
    <x v="3"/>
    <x v="220"/>
  </r>
  <r>
    <x v="0"/>
    <x v="0"/>
    <x v="0"/>
    <x v="198"/>
  </r>
  <r>
    <x v="0"/>
    <x v="0"/>
    <x v="0"/>
    <x v="214"/>
  </r>
  <r>
    <x v="0"/>
    <x v="3"/>
    <x v="0"/>
    <x v="212"/>
  </r>
  <r>
    <x v="0"/>
    <x v="2"/>
    <x v="3"/>
    <x v="223"/>
  </r>
  <r>
    <x v="0"/>
    <x v="4"/>
    <x v="3"/>
    <x v="202"/>
  </r>
  <r>
    <x v="0"/>
    <x v="0"/>
    <x v="3"/>
    <x v="203"/>
  </r>
  <r>
    <x v="0"/>
    <x v="0"/>
    <x v="3"/>
    <x v="199"/>
  </r>
  <r>
    <x v="0"/>
    <x v="0"/>
    <x v="0"/>
    <x v="221"/>
  </r>
  <r>
    <x v="0"/>
    <x v="0"/>
    <x v="2"/>
    <x v="215"/>
  </r>
  <r>
    <x v="0"/>
    <x v="0"/>
    <x v="0"/>
    <x v="202"/>
  </r>
  <r>
    <x v="0"/>
    <x v="0"/>
    <x v="3"/>
    <x v="202"/>
  </r>
  <r>
    <x v="0"/>
    <x v="0"/>
    <x v="3"/>
    <x v="207"/>
  </r>
  <r>
    <x v="0"/>
    <x v="8"/>
    <x v="3"/>
    <x v="213"/>
  </r>
  <r>
    <x v="0"/>
    <x v="0"/>
    <x v="2"/>
    <x v="209"/>
  </r>
  <r>
    <x v="0"/>
    <x v="8"/>
    <x v="1"/>
    <x v="217"/>
  </r>
  <r>
    <x v="0"/>
    <x v="0"/>
    <x v="0"/>
    <x v="206"/>
  </r>
  <r>
    <x v="0"/>
    <x v="2"/>
    <x v="1"/>
    <x v="220"/>
  </r>
  <r>
    <x v="0"/>
    <x v="0"/>
    <x v="2"/>
    <x v="211"/>
  </r>
  <r>
    <x v="0"/>
    <x v="0"/>
    <x v="3"/>
    <x v="205"/>
  </r>
  <r>
    <x v="0"/>
    <x v="0"/>
    <x v="3"/>
    <x v="204"/>
  </r>
  <r>
    <x v="0"/>
    <x v="0"/>
    <x v="3"/>
    <x v="198"/>
  </r>
  <r>
    <x v="0"/>
    <x v="8"/>
    <x v="2"/>
    <x v="219"/>
  </r>
  <r>
    <x v="0"/>
    <x v="0"/>
    <x v="3"/>
    <x v="202"/>
  </r>
  <r>
    <x v="0"/>
    <x v="2"/>
    <x v="2"/>
    <x v="213"/>
  </r>
  <r>
    <x v="1"/>
    <x v="9"/>
    <x v="3"/>
    <x v="213"/>
  </r>
  <r>
    <x v="1"/>
    <x v="10"/>
    <x v="0"/>
    <x v="207"/>
  </r>
  <r>
    <x v="1"/>
    <x v="11"/>
    <x v="1"/>
    <x v="199"/>
  </r>
  <r>
    <x v="1"/>
    <x v="11"/>
    <x v="2"/>
    <x v="203"/>
  </r>
  <r>
    <x v="1"/>
    <x v="12"/>
    <x v="0"/>
    <x v="208"/>
  </r>
  <r>
    <x v="1"/>
    <x v="9"/>
    <x v="1"/>
    <x v="222"/>
  </r>
  <r>
    <x v="1"/>
    <x v="13"/>
    <x v="1"/>
    <x v="222"/>
  </r>
  <r>
    <x v="1"/>
    <x v="12"/>
    <x v="3"/>
    <x v="219"/>
  </r>
  <r>
    <x v="1"/>
    <x v="11"/>
    <x v="0"/>
    <x v="210"/>
  </r>
  <r>
    <x v="1"/>
    <x v="9"/>
    <x v="2"/>
    <x v="198"/>
  </r>
  <r>
    <x v="1"/>
    <x v="9"/>
    <x v="3"/>
    <x v="200"/>
  </r>
  <r>
    <x v="1"/>
    <x v="12"/>
    <x v="2"/>
    <x v="204"/>
  </r>
  <r>
    <x v="1"/>
    <x v="9"/>
    <x v="3"/>
    <x v="225"/>
  </r>
  <r>
    <x v="1"/>
    <x v="12"/>
    <x v="3"/>
    <x v="209"/>
  </r>
  <r>
    <x v="1"/>
    <x v="12"/>
    <x v="0"/>
    <x v="200"/>
  </r>
  <r>
    <x v="1"/>
    <x v="14"/>
    <x v="2"/>
    <x v="204"/>
  </r>
  <r>
    <x v="1"/>
    <x v="9"/>
    <x v="1"/>
    <x v="216"/>
  </r>
  <r>
    <x v="1"/>
    <x v="15"/>
    <x v="0"/>
    <x v="216"/>
  </r>
  <r>
    <x v="1"/>
    <x v="12"/>
    <x v="3"/>
    <x v="217"/>
  </r>
  <r>
    <x v="1"/>
    <x v="9"/>
    <x v="2"/>
    <x v="209"/>
  </r>
  <r>
    <x v="1"/>
    <x v="9"/>
    <x v="0"/>
    <x v="202"/>
  </r>
  <r>
    <x v="1"/>
    <x v="16"/>
    <x v="0"/>
    <x v="218"/>
  </r>
  <r>
    <x v="1"/>
    <x v="9"/>
    <x v="1"/>
    <x v="217"/>
  </r>
  <r>
    <x v="1"/>
    <x v="14"/>
    <x v="3"/>
    <x v="201"/>
  </r>
  <r>
    <x v="1"/>
    <x v="12"/>
    <x v="1"/>
    <x v="204"/>
  </r>
  <r>
    <x v="1"/>
    <x v="15"/>
    <x v="1"/>
    <x v="214"/>
  </r>
  <r>
    <x v="1"/>
    <x v="12"/>
    <x v="1"/>
    <x v="209"/>
  </r>
  <r>
    <x v="1"/>
    <x v="11"/>
    <x v="2"/>
    <x v="219"/>
  </r>
  <r>
    <x v="1"/>
    <x v="12"/>
    <x v="1"/>
    <x v="202"/>
  </r>
  <r>
    <x v="1"/>
    <x v="12"/>
    <x v="3"/>
    <x v="206"/>
  </r>
  <r>
    <x v="1"/>
    <x v="12"/>
    <x v="3"/>
    <x v="200"/>
  </r>
  <r>
    <x v="1"/>
    <x v="9"/>
    <x v="1"/>
    <x v="215"/>
  </r>
  <r>
    <x v="1"/>
    <x v="9"/>
    <x v="1"/>
    <x v="209"/>
  </r>
  <r>
    <x v="1"/>
    <x v="9"/>
    <x v="2"/>
    <x v="202"/>
  </r>
  <r>
    <x v="1"/>
    <x v="15"/>
    <x v="1"/>
    <x v="225"/>
  </r>
  <r>
    <x v="1"/>
    <x v="9"/>
    <x v="2"/>
    <x v="204"/>
  </r>
  <r>
    <x v="1"/>
    <x v="16"/>
    <x v="2"/>
    <x v="215"/>
  </r>
  <r>
    <x v="1"/>
    <x v="9"/>
    <x v="1"/>
    <x v="213"/>
  </r>
  <r>
    <x v="1"/>
    <x v="11"/>
    <x v="0"/>
    <x v="198"/>
  </r>
  <r>
    <x v="1"/>
    <x v="12"/>
    <x v="1"/>
    <x v="204"/>
  </r>
  <r>
    <x v="1"/>
    <x v="9"/>
    <x v="3"/>
    <x v="217"/>
  </r>
  <r>
    <x v="1"/>
    <x v="14"/>
    <x v="1"/>
    <x v="208"/>
  </r>
  <r>
    <x v="1"/>
    <x v="9"/>
    <x v="1"/>
    <x v="217"/>
  </r>
  <r>
    <x v="1"/>
    <x v="9"/>
    <x v="3"/>
    <x v="221"/>
  </r>
  <r>
    <x v="1"/>
    <x v="9"/>
    <x v="3"/>
    <x v="221"/>
  </r>
  <r>
    <x v="1"/>
    <x v="12"/>
    <x v="2"/>
    <x v="208"/>
  </r>
  <r>
    <x v="1"/>
    <x v="9"/>
    <x v="2"/>
    <x v="225"/>
  </r>
  <r>
    <x v="1"/>
    <x v="9"/>
    <x v="1"/>
    <x v="223"/>
  </r>
  <r>
    <x v="1"/>
    <x v="14"/>
    <x v="3"/>
    <x v="203"/>
  </r>
  <r>
    <x v="1"/>
    <x v="9"/>
    <x v="0"/>
    <x v="203"/>
  </r>
  <r>
    <x v="1"/>
    <x v="9"/>
    <x v="1"/>
    <x v="215"/>
  </r>
  <r>
    <x v="1"/>
    <x v="13"/>
    <x v="0"/>
    <x v="207"/>
  </r>
  <r>
    <x v="1"/>
    <x v="12"/>
    <x v="3"/>
    <x v="207"/>
  </r>
  <r>
    <x v="1"/>
    <x v="12"/>
    <x v="3"/>
    <x v="211"/>
  </r>
  <r>
    <x v="1"/>
    <x v="9"/>
    <x v="2"/>
    <x v="214"/>
  </r>
  <r>
    <x v="1"/>
    <x v="9"/>
    <x v="3"/>
    <x v="202"/>
  </r>
  <r>
    <x v="1"/>
    <x v="12"/>
    <x v="0"/>
    <x v="199"/>
  </r>
  <r>
    <x v="1"/>
    <x v="9"/>
    <x v="1"/>
    <x v="223"/>
  </r>
  <r>
    <x v="1"/>
    <x v="12"/>
    <x v="1"/>
    <x v="207"/>
  </r>
  <r>
    <x v="1"/>
    <x v="9"/>
    <x v="3"/>
    <x v="218"/>
  </r>
  <r>
    <x v="1"/>
    <x v="11"/>
    <x v="2"/>
    <x v="199"/>
  </r>
  <r>
    <x v="1"/>
    <x v="9"/>
    <x v="3"/>
    <x v="219"/>
  </r>
  <r>
    <x v="1"/>
    <x v="12"/>
    <x v="0"/>
    <x v="201"/>
  </r>
  <r>
    <x v="1"/>
    <x v="13"/>
    <x v="3"/>
    <x v="225"/>
  </r>
  <r>
    <x v="1"/>
    <x v="9"/>
    <x v="0"/>
    <x v="219"/>
  </r>
  <r>
    <x v="1"/>
    <x v="9"/>
    <x v="0"/>
    <x v="212"/>
  </r>
  <r>
    <x v="1"/>
    <x v="12"/>
    <x v="3"/>
    <x v="213"/>
  </r>
  <r>
    <x v="1"/>
    <x v="9"/>
    <x v="3"/>
    <x v="198"/>
  </r>
  <r>
    <x v="1"/>
    <x v="9"/>
    <x v="1"/>
    <x v="198"/>
  </r>
  <r>
    <x v="1"/>
    <x v="9"/>
    <x v="2"/>
    <x v="214"/>
  </r>
  <r>
    <x v="1"/>
    <x v="17"/>
    <x v="0"/>
    <x v="225"/>
  </r>
  <r>
    <x v="1"/>
    <x v="9"/>
    <x v="2"/>
    <x v="219"/>
  </r>
  <r>
    <x v="1"/>
    <x v="9"/>
    <x v="1"/>
    <x v="217"/>
  </r>
  <r>
    <x v="1"/>
    <x v="10"/>
    <x v="1"/>
    <x v="204"/>
  </r>
  <r>
    <x v="1"/>
    <x v="14"/>
    <x v="2"/>
    <x v="213"/>
  </r>
  <r>
    <x v="1"/>
    <x v="11"/>
    <x v="3"/>
    <x v="210"/>
  </r>
  <r>
    <x v="1"/>
    <x v="9"/>
    <x v="1"/>
    <x v="199"/>
  </r>
  <r>
    <x v="1"/>
    <x v="9"/>
    <x v="1"/>
    <x v="220"/>
  </r>
  <r>
    <x v="1"/>
    <x v="9"/>
    <x v="0"/>
    <x v="208"/>
  </r>
  <r>
    <x v="1"/>
    <x v="12"/>
    <x v="3"/>
    <x v="201"/>
  </r>
  <r>
    <x v="1"/>
    <x v="9"/>
    <x v="2"/>
    <x v="201"/>
  </r>
  <r>
    <x v="1"/>
    <x v="14"/>
    <x v="3"/>
    <x v="201"/>
  </r>
  <r>
    <x v="1"/>
    <x v="9"/>
    <x v="1"/>
    <x v="205"/>
  </r>
  <r>
    <x v="1"/>
    <x v="10"/>
    <x v="1"/>
    <x v="201"/>
  </r>
  <r>
    <x v="1"/>
    <x v="9"/>
    <x v="2"/>
    <x v="223"/>
  </r>
  <r>
    <x v="1"/>
    <x v="9"/>
    <x v="2"/>
    <x v="210"/>
  </r>
  <r>
    <x v="1"/>
    <x v="16"/>
    <x v="3"/>
    <x v="222"/>
  </r>
  <r>
    <x v="1"/>
    <x v="9"/>
    <x v="0"/>
    <x v="218"/>
  </r>
  <r>
    <x v="1"/>
    <x v="9"/>
    <x v="1"/>
    <x v="222"/>
  </r>
  <r>
    <x v="1"/>
    <x v="12"/>
    <x v="3"/>
    <x v="218"/>
  </r>
  <r>
    <x v="1"/>
    <x v="14"/>
    <x v="1"/>
    <x v="212"/>
  </r>
  <r>
    <x v="1"/>
    <x v="9"/>
    <x v="2"/>
    <x v="210"/>
  </r>
  <r>
    <x v="1"/>
    <x v="10"/>
    <x v="0"/>
    <x v="221"/>
  </r>
  <r>
    <x v="1"/>
    <x v="10"/>
    <x v="0"/>
    <x v="208"/>
  </r>
  <r>
    <x v="1"/>
    <x v="9"/>
    <x v="1"/>
    <x v="198"/>
  </r>
  <r>
    <x v="1"/>
    <x v="12"/>
    <x v="2"/>
    <x v="221"/>
  </r>
  <r>
    <x v="1"/>
    <x v="11"/>
    <x v="3"/>
    <x v="220"/>
  </r>
  <r>
    <x v="1"/>
    <x v="9"/>
    <x v="2"/>
    <x v="216"/>
  </r>
  <r>
    <x v="1"/>
    <x v="9"/>
    <x v="1"/>
    <x v="218"/>
  </r>
  <r>
    <x v="1"/>
    <x v="11"/>
    <x v="2"/>
    <x v="222"/>
  </r>
  <r>
    <x v="0"/>
    <x v="0"/>
    <x v="0"/>
    <x v="199"/>
  </r>
  <r>
    <x v="0"/>
    <x v="0"/>
    <x v="1"/>
    <x v="214"/>
  </r>
  <r>
    <x v="0"/>
    <x v="0"/>
    <x v="2"/>
    <x v="200"/>
  </r>
  <r>
    <x v="0"/>
    <x v="0"/>
    <x v="0"/>
    <x v="205"/>
  </r>
  <r>
    <x v="0"/>
    <x v="1"/>
    <x v="0"/>
    <x v="203"/>
  </r>
  <r>
    <x v="0"/>
    <x v="0"/>
    <x v="0"/>
    <x v="222"/>
  </r>
  <r>
    <x v="0"/>
    <x v="0"/>
    <x v="1"/>
    <x v="206"/>
  </r>
  <r>
    <x v="0"/>
    <x v="0"/>
    <x v="1"/>
    <x v="217"/>
  </r>
  <r>
    <x v="0"/>
    <x v="0"/>
    <x v="1"/>
    <x v="201"/>
  </r>
  <r>
    <x v="0"/>
    <x v="0"/>
    <x v="2"/>
    <x v="204"/>
  </r>
  <r>
    <x v="0"/>
    <x v="0"/>
    <x v="0"/>
    <x v="204"/>
  </r>
  <r>
    <x v="0"/>
    <x v="0"/>
    <x v="0"/>
    <x v="212"/>
  </r>
  <r>
    <x v="0"/>
    <x v="0"/>
    <x v="1"/>
    <x v="208"/>
  </r>
  <r>
    <x v="0"/>
    <x v="2"/>
    <x v="2"/>
    <x v="213"/>
  </r>
  <r>
    <x v="0"/>
    <x v="0"/>
    <x v="3"/>
    <x v="209"/>
  </r>
  <r>
    <x v="0"/>
    <x v="2"/>
    <x v="1"/>
    <x v="199"/>
  </r>
  <r>
    <x v="0"/>
    <x v="0"/>
    <x v="3"/>
    <x v="207"/>
  </r>
  <r>
    <x v="0"/>
    <x v="0"/>
    <x v="2"/>
    <x v="222"/>
  </r>
  <r>
    <x v="0"/>
    <x v="0"/>
    <x v="3"/>
    <x v="201"/>
  </r>
  <r>
    <x v="0"/>
    <x v="0"/>
    <x v="2"/>
    <x v="199"/>
  </r>
  <r>
    <x v="0"/>
    <x v="0"/>
    <x v="3"/>
    <x v="218"/>
  </r>
  <r>
    <x v="0"/>
    <x v="0"/>
    <x v="1"/>
    <x v="205"/>
  </r>
  <r>
    <x v="0"/>
    <x v="0"/>
    <x v="1"/>
    <x v="223"/>
  </r>
  <r>
    <x v="0"/>
    <x v="0"/>
    <x v="1"/>
    <x v="214"/>
  </r>
  <r>
    <x v="0"/>
    <x v="0"/>
    <x v="2"/>
    <x v="213"/>
  </r>
  <r>
    <x v="0"/>
    <x v="0"/>
    <x v="1"/>
    <x v="222"/>
  </r>
  <r>
    <x v="0"/>
    <x v="3"/>
    <x v="1"/>
    <x v="218"/>
  </r>
  <r>
    <x v="0"/>
    <x v="0"/>
    <x v="3"/>
    <x v="207"/>
  </r>
  <r>
    <x v="0"/>
    <x v="0"/>
    <x v="3"/>
    <x v="209"/>
  </r>
  <r>
    <x v="0"/>
    <x v="2"/>
    <x v="1"/>
    <x v="200"/>
  </r>
  <r>
    <x v="0"/>
    <x v="2"/>
    <x v="0"/>
    <x v="216"/>
  </r>
  <r>
    <x v="0"/>
    <x v="2"/>
    <x v="1"/>
    <x v="217"/>
  </r>
  <r>
    <x v="0"/>
    <x v="4"/>
    <x v="1"/>
    <x v="218"/>
  </r>
  <r>
    <x v="0"/>
    <x v="0"/>
    <x v="1"/>
    <x v="224"/>
  </r>
  <r>
    <x v="0"/>
    <x v="0"/>
    <x v="1"/>
    <x v="223"/>
  </r>
  <r>
    <x v="0"/>
    <x v="3"/>
    <x v="0"/>
    <x v="205"/>
  </r>
  <r>
    <x v="0"/>
    <x v="0"/>
    <x v="3"/>
    <x v="212"/>
  </r>
  <r>
    <x v="0"/>
    <x v="2"/>
    <x v="3"/>
    <x v="221"/>
  </r>
  <r>
    <x v="0"/>
    <x v="0"/>
    <x v="1"/>
    <x v="203"/>
  </r>
  <r>
    <x v="0"/>
    <x v="5"/>
    <x v="3"/>
    <x v="220"/>
  </r>
  <r>
    <x v="0"/>
    <x v="0"/>
    <x v="0"/>
    <x v="208"/>
  </r>
  <r>
    <x v="0"/>
    <x v="0"/>
    <x v="0"/>
    <x v="201"/>
  </r>
  <r>
    <x v="0"/>
    <x v="0"/>
    <x v="3"/>
    <x v="215"/>
  </r>
  <r>
    <x v="0"/>
    <x v="6"/>
    <x v="0"/>
    <x v="206"/>
  </r>
  <r>
    <x v="0"/>
    <x v="3"/>
    <x v="2"/>
    <x v="223"/>
  </r>
  <r>
    <x v="0"/>
    <x v="0"/>
    <x v="1"/>
    <x v="222"/>
  </r>
  <r>
    <x v="0"/>
    <x v="0"/>
    <x v="2"/>
    <x v="212"/>
  </r>
  <r>
    <x v="0"/>
    <x v="2"/>
    <x v="1"/>
    <x v="220"/>
  </r>
  <r>
    <x v="0"/>
    <x v="0"/>
    <x v="0"/>
    <x v="222"/>
  </r>
  <r>
    <x v="0"/>
    <x v="7"/>
    <x v="1"/>
    <x v="223"/>
  </r>
  <r>
    <x v="0"/>
    <x v="0"/>
    <x v="0"/>
    <x v="199"/>
  </r>
  <r>
    <x v="0"/>
    <x v="2"/>
    <x v="2"/>
    <x v="211"/>
  </r>
  <r>
    <x v="0"/>
    <x v="0"/>
    <x v="3"/>
    <x v="223"/>
  </r>
  <r>
    <x v="0"/>
    <x v="0"/>
    <x v="1"/>
    <x v="224"/>
  </r>
  <r>
    <x v="0"/>
    <x v="2"/>
    <x v="1"/>
    <x v="207"/>
  </r>
  <r>
    <x v="0"/>
    <x v="2"/>
    <x v="2"/>
    <x v="198"/>
  </r>
  <r>
    <x v="0"/>
    <x v="4"/>
    <x v="0"/>
    <x v="213"/>
  </r>
  <r>
    <x v="0"/>
    <x v="0"/>
    <x v="2"/>
    <x v="221"/>
  </r>
  <r>
    <x v="0"/>
    <x v="8"/>
    <x v="3"/>
    <x v="212"/>
  </r>
  <r>
    <x v="0"/>
    <x v="0"/>
    <x v="0"/>
    <x v="213"/>
  </r>
  <r>
    <x v="0"/>
    <x v="6"/>
    <x v="0"/>
    <x v="206"/>
  </r>
  <r>
    <x v="0"/>
    <x v="4"/>
    <x v="0"/>
    <x v="199"/>
  </r>
  <r>
    <x v="0"/>
    <x v="0"/>
    <x v="2"/>
    <x v="199"/>
  </r>
  <r>
    <x v="0"/>
    <x v="8"/>
    <x v="2"/>
    <x v="206"/>
  </r>
  <r>
    <x v="0"/>
    <x v="3"/>
    <x v="1"/>
    <x v="205"/>
  </r>
  <r>
    <x v="0"/>
    <x v="6"/>
    <x v="0"/>
    <x v="222"/>
  </r>
  <r>
    <x v="0"/>
    <x v="0"/>
    <x v="2"/>
    <x v="222"/>
  </r>
  <r>
    <x v="0"/>
    <x v="0"/>
    <x v="2"/>
    <x v="215"/>
  </r>
  <r>
    <x v="0"/>
    <x v="6"/>
    <x v="3"/>
    <x v="222"/>
  </r>
  <r>
    <x v="0"/>
    <x v="0"/>
    <x v="3"/>
    <x v="211"/>
  </r>
  <r>
    <x v="0"/>
    <x v="0"/>
    <x v="3"/>
    <x v="201"/>
  </r>
  <r>
    <x v="0"/>
    <x v="0"/>
    <x v="3"/>
    <x v="216"/>
  </r>
  <r>
    <x v="0"/>
    <x v="2"/>
    <x v="0"/>
    <x v="202"/>
  </r>
  <r>
    <x v="0"/>
    <x v="0"/>
    <x v="0"/>
    <x v="200"/>
  </r>
  <r>
    <x v="0"/>
    <x v="0"/>
    <x v="1"/>
    <x v="215"/>
  </r>
  <r>
    <x v="0"/>
    <x v="0"/>
    <x v="3"/>
    <x v="212"/>
  </r>
  <r>
    <x v="0"/>
    <x v="0"/>
    <x v="0"/>
    <x v="219"/>
  </r>
  <r>
    <x v="0"/>
    <x v="0"/>
    <x v="0"/>
    <x v="204"/>
  </r>
  <r>
    <x v="0"/>
    <x v="3"/>
    <x v="0"/>
    <x v="225"/>
  </r>
  <r>
    <x v="0"/>
    <x v="2"/>
    <x v="3"/>
    <x v="224"/>
  </r>
  <r>
    <x v="0"/>
    <x v="4"/>
    <x v="3"/>
    <x v="220"/>
  </r>
  <r>
    <x v="0"/>
    <x v="0"/>
    <x v="3"/>
    <x v="224"/>
  </r>
  <r>
    <x v="0"/>
    <x v="0"/>
    <x v="3"/>
    <x v="220"/>
  </r>
  <r>
    <x v="0"/>
    <x v="0"/>
    <x v="0"/>
    <x v="221"/>
  </r>
  <r>
    <x v="0"/>
    <x v="0"/>
    <x v="2"/>
    <x v="212"/>
  </r>
  <r>
    <x v="0"/>
    <x v="0"/>
    <x v="0"/>
    <x v="207"/>
  </r>
  <r>
    <x v="0"/>
    <x v="0"/>
    <x v="3"/>
    <x v="201"/>
  </r>
  <r>
    <x v="0"/>
    <x v="0"/>
    <x v="3"/>
    <x v="203"/>
  </r>
  <r>
    <x v="0"/>
    <x v="8"/>
    <x v="3"/>
    <x v="225"/>
  </r>
  <r>
    <x v="0"/>
    <x v="0"/>
    <x v="2"/>
    <x v="225"/>
  </r>
  <r>
    <x v="0"/>
    <x v="8"/>
    <x v="1"/>
    <x v="205"/>
  </r>
  <r>
    <x v="0"/>
    <x v="0"/>
    <x v="0"/>
    <x v="202"/>
  </r>
  <r>
    <x v="0"/>
    <x v="2"/>
    <x v="1"/>
    <x v="224"/>
  </r>
  <r>
    <x v="0"/>
    <x v="0"/>
    <x v="2"/>
    <x v="213"/>
  </r>
  <r>
    <x v="0"/>
    <x v="0"/>
    <x v="3"/>
    <x v="199"/>
  </r>
  <r>
    <x v="0"/>
    <x v="0"/>
    <x v="3"/>
    <x v="211"/>
  </r>
  <r>
    <x v="0"/>
    <x v="0"/>
    <x v="3"/>
    <x v="200"/>
  </r>
  <r>
    <x v="0"/>
    <x v="8"/>
    <x v="2"/>
    <x v="224"/>
  </r>
  <r>
    <x v="0"/>
    <x v="0"/>
    <x v="3"/>
    <x v="200"/>
  </r>
  <r>
    <x v="0"/>
    <x v="2"/>
    <x v="2"/>
    <x v="210"/>
  </r>
  <r>
    <x v="1"/>
    <x v="9"/>
    <x v="3"/>
    <x v="220"/>
  </r>
  <r>
    <x v="1"/>
    <x v="10"/>
    <x v="0"/>
    <x v="200"/>
  </r>
  <r>
    <x v="1"/>
    <x v="11"/>
    <x v="1"/>
    <x v="205"/>
  </r>
  <r>
    <x v="1"/>
    <x v="11"/>
    <x v="2"/>
    <x v="214"/>
  </r>
  <r>
    <x v="1"/>
    <x v="12"/>
    <x v="0"/>
    <x v="222"/>
  </r>
  <r>
    <x v="1"/>
    <x v="9"/>
    <x v="1"/>
    <x v="220"/>
  </r>
  <r>
    <x v="1"/>
    <x v="13"/>
    <x v="1"/>
    <x v="199"/>
  </r>
  <r>
    <x v="1"/>
    <x v="12"/>
    <x v="3"/>
    <x v="220"/>
  </r>
  <r>
    <x v="1"/>
    <x v="11"/>
    <x v="0"/>
    <x v="225"/>
  </r>
  <r>
    <x v="1"/>
    <x v="9"/>
    <x v="2"/>
    <x v="212"/>
  </r>
  <r>
    <x v="1"/>
    <x v="9"/>
    <x v="3"/>
    <x v="210"/>
  </r>
  <r>
    <x v="1"/>
    <x v="12"/>
    <x v="2"/>
    <x v="217"/>
  </r>
  <r>
    <x v="1"/>
    <x v="9"/>
    <x v="3"/>
    <x v="213"/>
  </r>
  <r>
    <x v="1"/>
    <x v="12"/>
    <x v="3"/>
    <x v="220"/>
  </r>
  <r>
    <x v="1"/>
    <x v="12"/>
    <x v="0"/>
    <x v="222"/>
  </r>
  <r>
    <x v="1"/>
    <x v="14"/>
    <x v="2"/>
    <x v="208"/>
  </r>
  <r>
    <x v="1"/>
    <x v="9"/>
    <x v="1"/>
    <x v="224"/>
  </r>
  <r>
    <x v="1"/>
    <x v="15"/>
    <x v="0"/>
    <x v="207"/>
  </r>
  <r>
    <x v="1"/>
    <x v="12"/>
    <x v="3"/>
    <x v="225"/>
  </r>
  <r>
    <x v="1"/>
    <x v="9"/>
    <x v="2"/>
    <x v="202"/>
  </r>
  <r>
    <x v="1"/>
    <x v="9"/>
    <x v="0"/>
    <x v="211"/>
  </r>
  <r>
    <x v="1"/>
    <x v="16"/>
    <x v="0"/>
    <x v="206"/>
  </r>
  <r>
    <x v="1"/>
    <x v="9"/>
    <x v="1"/>
    <x v="199"/>
  </r>
  <r>
    <x v="1"/>
    <x v="14"/>
    <x v="3"/>
    <x v="205"/>
  </r>
  <r>
    <x v="1"/>
    <x v="12"/>
    <x v="1"/>
    <x v="199"/>
  </r>
  <r>
    <x v="1"/>
    <x v="15"/>
    <x v="1"/>
    <x v="203"/>
  </r>
  <r>
    <x v="1"/>
    <x v="12"/>
    <x v="1"/>
    <x v="216"/>
  </r>
  <r>
    <x v="1"/>
    <x v="11"/>
    <x v="2"/>
    <x v="219"/>
  </r>
  <r>
    <x v="1"/>
    <x v="12"/>
    <x v="1"/>
    <x v="203"/>
  </r>
  <r>
    <x v="1"/>
    <x v="12"/>
    <x v="3"/>
    <x v="212"/>
  </r>
  <r>
    <x v="1"/>
    <x v="12"/>
    <x v="3"/>
    <x v="214"/>
  </r>
  <r>
    <x v="1"/>
    <x v="9"/>
    <x v="1"/>
    <x v="200"/>
  </r>
  <r>
    <x v="1"/>
    <x v="9"/>
    <x v="1"/>
    <x v="224"/>
  </r>
  <r>
    <x v="1"/>
    <x v="9"/>
    <x v="2"/>
    <x v="200"/>
  </r>
  <r>
    <x v="1"/>
    <x v="15"/>
    <x v="1"/>
    <x v="215"/>
  </r>
  <r>
    <x v="1"/>
    <x v="9"/>
    <x v="2"/>
    <x v="202"/>
  </r>
  <r>
    <x v="1"/>
    <x v="16"/>
    <x v="2"/>
    <x v="225"/>
  </r>
  <r>
    <x v="1"/>
    <x v="9"/>
    <x v="1"/>
    <x v="208"/>
  </r>
  <r>
    <x v="1"/>
    <x v="11"/>
    <x v="0"/>
    <x v="224"/>
  </r>
  <r>
    <x v="1"/>
    <x v="12"/>
    <x v="1"/>
    <x v="198"/>
  </r>
  <r>
    <x v="1"/>
    <x v="9"/>
    <x v="3"/>
    <x v="220"/>
  </r>
  <r>
    <x v="1"/>
    <x v="14"/>
    <x v="1"/>
    <x v="222"/>
  </r>
  <r>
    <x v="1"/>
    <x v="9"/>
    <x v="1"/>
    <x v="203"/>
  </r>
  <r>
    <x v="1"/>
    <x v="9"/>
    <x v="3"/>
    <x v="213"/>
  </r>
  <r>
    <x v="1"/>
    <x v="9"/>
    <x v="3"/>
    <x v="225"/>
  </r>
  <r>
    <x v="1"/>
    <x v="12"/>
    <x v="2"/>
    <x v="209"/>
  </r>
  <r>
    <x v="1"/>
    <x v="9"/>
    <x v="2"/>
    <x v="201"/>
  </r>
  <r>
    <x v="1"/>
    <x v="9"/>
    <x v="1"/>
    <x v="211"/>
  </r>
  <r>
    <x v="1"/>
    <x v="14"/>
    <x v="3"/>
    <x v="222"/>
  </r>
  <r>
    <x v="1"/>
    <x v="9"/>
    <x v="0"/>
    <x v="208"/>
  </r>
  <r>
    <x v="1"/>
    <x v="9"/>
    <x v="1"/>
    <x v="220"/>
  </r>
  <r>
    <x v="1"/>
    <x v="13"/>
    <x v="0"/>
    <x v="214"/>
  </r>
  <r>
    <x v="1"/>
    <x v="12"/>
    <x v="3"/>
    <x v="208"/>
  </r>
  <r>
    <x v="1"/>
    <x v="12"/>
    <x v="3"/>
    <x v="220"/>
  </r>
  <r>
    <x v="1"/>
    <x v="9"/>
    <x v="2"/>
    <x v="224"/>
  </r>
  <r>
    <x v="1"/>
    <x v="9"/>
    <x v="3"/>
    <x v="218"/>
  </r>
  <r>
    <x v="1"/>
    <x v="12"/>
    <x v="0"/>
    <x v="201"/>
  </r>
  <r>
    <x v="1"/>
    <x v="9"/>
    <x v="1"/>
    <x v="221"/>
  </r>
  <r>
    <x v="1"/>
    <x v="12"/>
    <x v="1"/>
    <x v="223"/>
  </r>
  <r>
    <x v="1"/>
    <x v="9"/>
    <x v="3"/>
    <x v="223"/>
  </r>
  <r>
    <x v="1"/>
    <x v="11"/>
    <x v="2"/>
    <x v="225"/>
  </r>
  <r>
    <x v="1"/>
    <x v="9"/>
    <x v="3"/>
    <x v="209"/>
  </r>
  <r>
    <x v="1"/>
    <x v="12"/>
    <x v="0"/>
    <x v="219"/>
  </r>
  <r>
    <x v="1"/>
    <x v="13"/>
    <x v="3"/>
    <x v="216"/>
  </r>
  <r>
    <x v="1"/>
    <x v="9"/>
    <x v="0"/>
    <x v="199"/>
  </r>
  <r>
    <x v="1"/>
    <x v="9"/>
    <x v="0"/>
    <x v="205"/>
  </r>
  <r>
    <x v="1"/>
    <x v="12"/>
    <x v="3"/>
    <x v="222"/>
  </r>
  <r>
    <x v="1"/>
    <x v="9"/>
    <x v="3"/>
    <x v="213"/>
  </r>
  <r>
    <x v="1"/>
    <x v="9"/>
    <x v="1"/>
    <x v="199"/>
  </r>
  <r>
    <x v="1"/>
    <x v="9"/>
    <x v="2"/>
    <x v="219"/>
  </r>
  <r>
    <x v="1"/>
    <x v="17"/>
    <x v="0"/>
    <x v="214"/>
  </r>
  <r>
    <x v="1"/>
    <x v="9"/>
    <x v="2"/>
    <x v="209"/>
  </r>
  <r>
    <x v="1"/>
    <x v="9"/>
    <x v="1"/>
    <x v="209"/>
  </r>
  <r>
    <x v="1"/>
    <x v="10"/>
    <x v="1"/>
    <x v="199"/>
  </r>
  <r>
    <x v="1"/>
    <x v="14"/>
    <x v="2"/>
    <x v="202"/>
  </r>
  <r>
    <x v="1"/>
    <x v="11"/>
    <x v="3"/>
    <x v="202"/>
  </r>
  <r>
    <x v="1"/>
    <x v="9"/>
    <x v="1"/>
    <x v="208"/>
  </r>
  <r>
    <x v="1"/>
    <x v="9"/>
    <x v="1"/>
    <x v="215"/>
  </r>
  <r>
    <x v="1"/>
    <x v="9"/>
    <x v="0"/>
    <x v="224"/>
  </r>
  <r>
    <x v="1"/>
    <x v="12"/>
    <x v="3"/>
    <x v="220"/>
  </r>
  <r>
    <x v="1"/>
    <x v="9"/>
    <x v="2"/>
    <x v="210"/>
  </r>
  <r>
    <x v="1"/>
    <x v="14"/>
    <x v="3"/>
    <x v="205"/>
  </r>
  <r>
    <x v="1"/>
    <x v="9"/>
    <x v="1"/>
    <x v="206"/>
  </r>
  <r>
    <x v="1"/>
    <x v="10"/>
    <x v="1"/>
    <x v="201"/>
  </r>
  <r>
    <x v="1"/>
    <x v="9"/>
    <x v="2"/>
    <x v="204"/>
  </r>
  <r>
    <x v="1"/>
    <x v="9"/>
    <x v="2"/>
    <x v="220"/>
  </r>
  <r>
    <x v="1"/>
    <x v="16"/>
    <x v="3"/>
    <x v="199"/>
  </r>
  <r>
    <x v="1"/>
    <x v="9"/>
    <x v="0"/>
    <x v="212"/>
  </r>
  <r>
    <x v="1"/>
    <x v="9"/>
    <x v="1"/>
    <x v="202"/>
  </r>
  <r>
    <x v="1"/>
    <x v="12"/>
    <x v="3"/>
    <x v="224"/>
  </r>
  <r>
    <x v="1"/>
    <x v="14"/>
    <x v="1"/>
    <x v="203"/>
  </r>
  <r>
    <x v="1"/>
    <x v="9"/>
    <x v="2"/>
    <x v="206"/>
  </r>
  <r>
    <x v="1"/>
    <x v="10"/>
    <x v="0"/>
    <x v="206"/>
  </r>
  <r>
    <x v="1"/>
    <x v="10"/>
    <x v="0"/>
    <x v="218"/>
  </r>
  <r>
    <x v="1"/>
    <x v="9"/>
    <x v="1"/>
    <x v="218"/>
  </r>
  <r>
    <x v="1"/>
    <x v="12"/>
    <x v="2"/>
    <x v="213"/>
  </r>
  <r>
    <x v="1"/>
    <x v="11"/>
    <x v="3"/>
    <x v="206"/>
  </r>
  <r>
    <x v="1"/>
    <x v="9"/>
    <x v="2"/>
    <x v="222"/>
  </r>
  <r>
    <x v="1"/>
    <x v="9"/>
    <x v="1"/>
    <x v="202"/>
  </r>
  <r>
    <x v="1"/>
    <x v="11"/>
    <x v="2"/>
    <x v="2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Ins"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S4:T9" firstHeaderRow="1" firstDataRow="1" firstDataCol="1" rowPageCount="1" colPageCount="1"/>
  <pivotFields count="13">
    <pivotField axis="axisPage" showAll="0">
      <items count="3">
        <item x="0"/>
        <item x="1"/>
        <item t="default"/>
      </items>
    </pivotField>
    <pivotField showAll="0">
      <items count="16">
        <item x="2"/>
        <item h="1" x="9"/>
        <item h="1" x="3"/>
        <item h="1" x="0"/>
        <item h="1" x="8"/>
        <item h="1" x="13"/>
        <item h="1" x="7"/>
        <item h="1" x="1"/>
        <item h="1" x="11"/>
        <item h="1" x="12"/>
        <item h="1" x="4"/>
        <item h="1" x="6"/>
        <item h="1" x="14"/>
        <item h="1" x="5"/>
        <item h="1" x="10"/>
        <item t="default"/>
      </items>
    </pivotField>
    <pivotField axis="axisRow" dataField="1" showAll="0">
      <items count="161">
        <item x="53"/>
        <item x="47"/>
        <item x="110"/>
        <item x="51"/>
        <item x="59"/>
        <item x="58"/>
        <item x="78"/>
        <item x="26"/>
        <item x="134"/>
        <item x="131"/>
        <item x="45"/>
        <item x="35"/>
        <item x="149"/>
        <item x="23"/>
        <item x="7"/>
        <item x="15"/>
        <item x="116"/>
        <item x="158"/>
        <item x="142"/>
        <item x="146"/>
        <item x="90"/>
        <item x="114"/>
        <item x="124"/>
        <item x="148"/>
        <item x="41"/>
        <item x="138"/>
        <item x="125"/>
        <item x="38"/>
        <item x="106"/>
        <item x="27"/>
        <item x="49"/>
        <item x="33"/>
        <item x="84"/>
        <item x="0"/>
        <item x="5"/>
        <item x="34"/>
        <item x="42"/>
        <item x="79"/>
        <item x="24"/>
        <item x="66"/>
        <item x="75"/>
        <item x="62"/>
        <item x="61"/>
        <item x="40"/>
        <item x="13"/>
        <item x="10"/>
        <item x="71"/>
        <item x="143"/>
        <item x="155"/>
        <item x="129"/>
        <item x="3"/>
        <item x="120"/>
        <item x="141"/>
        <item x="14"/>
        <item x="144"/>
        <item x="98"/>
        <item x="28"/>
        <item x="150"/>
        <item x="25"/>
        <item x="56"/>
        <item x="2"/>
        <item x="91"/>
        <item x="85"/>
        <item x="60"/>
        <item x="121"/>
        <item x="103"/>
        <item x="12"/>
        <item x="83"/>
        <item x="145"/>
        <item x="151"/>
        <item x="17"/>
        <item x="153"/>
        <item x="127"/>
        <item x="29"/>
        <item x="44"/>
        <item x="73"/>
        <item x="30"/>
        <item x="11"/>
        <item x="132"/>
        <item x="87"/>
        <item x="6"/>
        <item x="54"/>
        <item x="86"/>
        <item x="81"/>
        <item x="9"/>
        <item x="4"/>
        <item x="69"/>
        <item x="89"/>
        <item x="102"/>
        <item x="39"/>
        <item x="88"/>
        <item x="130"/>
        <item x="19"/>
        <item x="92"/>
        <item x="112"/>
        <item x="156"/>
        <item x="107"/>
        <item x="80"/>
        <item x="93"/>
        <item x="104"/>
        <item x="63"/>
        <item x="20"/>
        <item x="77"/>
        <item x="50"/>
        <item x="115"/>
        <item x="137"/>
        <item x="105"/>
        <item x="94"/>
        <item x="128"/>
        <item x="126"/>
        <item x="152"/>
        <item x="136"/>
        <item x="139"/>
        <item x="82"/>
        <item x="64"/>
        <item x="46"/>
        <item x="55"/>
        <item x="67"/>
        <item x="118"/>
        <item x="123"/>
        <item x="65"/>
        <item x="18"/>
        <item x="31"/>
        <item x="97"/>
        <item x="96"/>
        <item x="99"/>
        <item x="108"/>
        <item x="113"/>
        <item x="159"/>
        <item x="16"/>
        <item x="37"/>
        <item x="32"/>
        <item x="111"/>
        <item x="95"/>
        <item x="119"/>
        <item x="154"/>
        <item x="48"/>
        <item x="21"/>
        <item x="76"/>
        <item x="133"/>
        <item x="1"/>
        <item x="122"/>
        <item x="57"/>
        <item x="100"/>
        <item x="109"/>
        <item x="68"/>
        <item x="72"/>
        <item x="36"/>
        <item x="117"/>
        <item x="70"/>
        <item x="157"/>
        <item x="140"/>
        <item x="135"/>
        <item x="74"/>
        <item x="43"/>
        <item x="147"/>
        <item x="101"/>
        <item x="8"/>
        <item x="22"/>
        <item x="52"/>
        <item t="default"/>
      </items>
    </pivotField>
    <pivotField showAll="0"/>
    <pivotField showAll="0"/>
    <pivotField showAll="0"/>
    <pivotField showAll="0"/>
    <pivotField showAll="0"/>
    <pivotField showAll="0"/>
    <pivotField showAll="0"/>
    <pivotField showAll="0"/>
    <pivotField showAll="0">
      <items count="5">
        <item x="0"/>
        <item x="1"/>
        <item x="2"/>
        <item x="3"/>
        <item t="default"/>
      </items>
    </pivotField>
    <pivotField numFmtId="164" showAll="0"/>
  </pivotFields>
  <rowFields count="1">
    <field x="2"/>
  </rowFields>
  <rowItems count="5">
    <i>
      <x v="32"/>
    </i>
    <i>
      <x v="60"/>
    </i>
    <i>
      <x v="101"/>
    </i>
    <i>
      <x v="146"/>
    </i>
    <i t="grand">
      <x/>
    </i>
  </rowItems>
  <colItems count="1">
    <i/>
  </colItems>
  <pageFields count="1">
    <pageField fld="0" item="0" hier="-1"/>
  </pageFields>
  <dataFields count="1">
    <dataField name="Count of NAMA INSTITUSI" fld="2" subtotal="count" baseField="0" baseItem="0"/>
  </dataFields>
  <chartFormats count="2">
    <chartFormat chart="0"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Sta"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location ref="W30:X33" firstHeaderRow="1" firstDataRow="1" firstDataCol="1" rowPageCount="1" colPageCount="1"/>
  <pivotFields count="13">
    <pivotField axis="axisPage" showAll="0">
      <items count="3">
        <item x="0"/>
        <item x="1"/>
        <item t="default"/>
      </items>
    </pivotField>
    <pivotField showAll="0">
      <items count="16">
        <item x="2"/>
        <item h="1"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showAll="0"/>
    <pivotField showAll="0"/>
    <pivotField axis="axisRow" dataField="1" showAll="0">
      <items count="4">
        <item x="2"/>
        <item x="1"/>
        <item x="0"/>
        <item t="default"/>
      </items>
    </pivotField>
    <pivotField showAll="0">
      <items count="5">
        <item x="0"/>
        <item x="1"/>
        <item x="2"/>
        <item x="3"/>
        <item t="default"/>
      </items>
    </pivotField>
    <pivotField numFmtId="164" showAll="0"/>
  </pivotFields>
  <rowFields count="1">
    <field x="10"/>
  </rowFields>
  <rowItems count="3">
    <i>
      <x v="1"/>
    </i>
    <i>
      <x v="2"/>
    </i>
    <i t="grand">
      <x/>
    </i>
  </rowItems>
  <colItems count="1">
    <i/>
  </colItems>
  <pageFields count="1">
    <pageField fld="0" item="0" hier="-1"/>
  </pageFields>
  <dataFields count="1">
    <dataField name="Count of STATUS USULAN" fld="10" subtotal="count"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
  <location ref="D34:E37" firstHeaderRow="1" firstDataRow="1" firstDataCol="1" rowPageCount="1" colPageCount="1"/>
  <pivotFields count="13">
    <pivotField axis="axisPage" showAll="0">
      <items count="3">
        <item x="0"/>
        <item x="1"/>
        <item t="default"/>
      </items>
    </pivotField>
    <pivotField showAll="0">
      <items count="16">
        <item x="2"/>
        <item x="9"/>
        <item x="3"/>
        <item x="0"/>
        <item x="8"/>
        <item x="13"/>
        <item x="7"/>
        <item x="1"/>
        <item x="11"/>
        <item x="12"/>
        <item x="4"/>
        <item x="6"/>
        <item x="14"/>
        <item x="5"/>
        <item x="10"/>
        <item t="default"/>
      </items>
    </pivotField>
    <pivotField showAll="0"/>
    <pivotField showAll="0"/>
    <pivotField showAll="0"/>
    <pivotField showAll="0"/>
    <pivotField showAll="0"/>
    <pivotField showAll="0"/>
    <pivotField dataField="1" showAll="0"/>
    <pivotField showAll="0"/>
    <pivotField axis="axisRow" showAll="0">
      <items count="4">
        <item x="2"/>
        <item x="1"/>
        <item x="0"/>
        <item t="default"/>
      </items>
    </pivotField>
    <pivotField showAll="0">
      <items count="5">
        <item h="1" x="0"/>
        <item h="1" x="1"/>
        <item x="2"/>
        <item h="1" x="3"/>
        <item t="default"/>
      </items>
    </pivotField>
    <pivotField numFmtId="164" showAll="0"/>
  </pivotFields>
  <rowFields count="1">
    <field x="10"/>
  </rowFields>
  <rowItems count="3">
    <i>
      <x v="1"/>
    </i>
    <i>
      <x v="2"/>
    </i>
    <i t="grand">
      <x/>
    </i>
  </rowItems>
  <colItems count="1">
    <i/>
  </colItems>
  <pageFields count="1">
    <pageField fld="0" item="0" hier="-1"/>
  </pageFields>
  <dataFields count="1">
    <dataField name="Count of JUDUL" fld="8" subtotal="count" baseField="0" baseItem="0"/>
  </dataField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9">
  <location ref="A25:B35" firstHeaderRow="1" firstDataRow="1" firstDataCol="1" rowPageCount="2" colPageCount="1"/>
  <pivotFields count="13">
    <pivotField axis="axisPage" showAll="0">
      <items count="3">
        <item x="0"/>
        <item x="1"/>
        <item t="default"/>
      </items>
    </pivotField>
    <pivotField showAll="0"/>
    <pivotField showAll="0"/>
    <pivotField axis="axisRow" dataField="1" showAll="0">
      <items count="19">
        <item x="16"/>
        <item x="4"/>
        <item x="7"/>
        <item x="0"/>
        <item x="1"/>
        <item x="5"/>
        <item x="6"/>
        <item x="8"/>
        <item x="2"/>
        <item x="9"/>
        <item x="11"/>
        <item x="15"/>
        <item x="12"/>
        <item x="17"/>
        <item x="13"/>
        <item x="14"/>
        <item x="10"/>
        <item x="3"/>
        <item t="default"/>
      </items>
    </pivotField>
    <pivotField showAll="0"/>
    <pivotField showAll="0"/>
    <pivotField showAll="0"/>
    <pivotField showAll="0"/>
    <pivotField showAll="0">
      <items count="201">
        <item x="87"/>
        <item x="0"/>
        <item x="17"/>
        <item x="15"/>
        <item x="83"/>
        <item x="33"/>
        <item x="1"/>
        <item x="89"/>
        <item x="39"/>
        <item x="64"/>
        <item x="190"/>
        <item x="23"/>
        <item x="74"/>
        <item x="145"/>
        <item x="102"/>
        <item x="68"/>
        <item x="196"/>
        <item x="160"/>
        <item x="66"/>
        <item x="53"/>
        <item x="9"/>
        <item x="22"/>
        <item x="27"/>
        <item x="41"/>
        <item x="76"/>
        <item x="91"/>
        <item x="84"/>
        <item x="16"/>
        <item x="30"/>
        <item x="10"/>
        <item x="67"/>
        <item x="82"/>
        <item x="35"/>
        <item x="169"/>
        <item x="50"/>
        <item x="62"/>
        <item x="166"/>
        <item x="34"/>
        <item x="98"/>
        <item x="178"/>
        <item x="47"/>
        <item x="55"/>
        <item x="186"/>
        <item x="72"/>
        <item x="21"/>
        <item x="86"/>
        <item x="32"/>
        <item x="122"/>
        <item x="80"/>
        <item x="59"/>
        <item x="112"/>
        <item x="117"/>
        <item x="8"/>
        <item x="46"/>
        <item x="6"/>
        <item x="36"/>
        <item x="152"/>
        <item x="95"/>
        <item x="44"/>
        <item x="12"/>
        <item x="78"/>
        <item x="2"/>
        <item x="49"/>
        <item x="54"/>
        <item x="28"/>
        <item x="5"/>
        <item x="162"/>
        <item x="65"/>
        <item x="173"/>
        <item x="26"/>
        <item x="61"/>
        <item x="133"/>
        <item x="188"/>
        <item x="109"/>
        <item x="137"/>
        <item x="140"/>
        <item x="97"/>
        <item x="3"/>
        <item x="40"/>
        <item x="63"/>
        <item x="42"/>
        <item x="60"/>
        <item x="164"/>
        <item x="182"/>
        <item x="156"/>
        <item x="176"/>
        <item x="96"/>
        <item x="31"/>
        <item x="52"/>
        <item x="57"/>
        <item x="71"/>
        <item x="85"/>
        <item x="20"/>
        <item x="14"/>
        <item x="151"/>
        <item x="159"/>
        <item x="69"/>
        <item x="158"/>
        <item x="19"/>
        <item x="103"/>
        <item x="132"/>
        <item x="128"/>
        <item x="93"/>
        <item x="38"/>
        <item x="58"/>
        <item x="45"/>
        <item x="104"/>
        <item x="183"/>
        <item x="105"/>
        <item x="139"/>
        <item x="180"/>
        <item x="73"/>
        <item x="56"/>
        <item x="136"/>
        <item x="155"/>
        <item x="25"/>
        <item x="120"/>
        <item x="172"/>
        <item x="163"/>
        <item x="171"/>
        <item x="126"/>
        <item x="90"/>
        <item x="116"/>
        <item x="92"/>
        <item x="75"/>
        <item x="110"/>
        <item x="101"/>
        <item x="138"/>
        <item x="185"/>
        <item x="184"/>
        <item x="119"/>
        <item x="125"/>
        <item x="192"/>
        <item x="106"/>
        <item x="107"/>
        <item x="165"/>
        <item x="161"/>
        <item x="146"/>
        <item x="141"/>
        <item x="123"/>
        <item x="121"/>
        <item x="130"/>
        <item x="199"/>
        <item x="181"/>
        <item x="142"/>
        <item x="168"/>
        <item x="193"/>
        <item x="135"/>
        <item x="175"/>
        <item x="150"/>
        <item x="198"/>
        <item x="157"/>
        <item x="153"/>
        <item x="174"/>
        <item x="148"/>
        <item x="115"/>
        <item x="4"/>
        <item x="177"/>
        <item x="187"/>
        <item x="129"/>
        <item x="144"/>
        <item x="124"/>
        <item x="195"/>
        <item x="167"/>
        <item x="114"/>
        <item x="191"/>
        <item x="127"/>
        <item x="113"/>
        <item x="100"/>
        <item x="170"/>
        <item x="189"/>
        <item x="197"/>
        <item x="143"/>
        <item x="118"/>
        <item x="81"/>
        <item x="99"/>
        <item x="43"/>
        <item x="37"/>
        <item x="179"/>
        <item x="154"/>
        <item x="149"/>
        <item x="108"/>
        <item x="134"/>
        <item x="194"/>
        <item x="111"/>
        <item x="147"/>
        <item x="18"/>
        <item x="131"/>
        <item x="11"/>
        <item x="77"/>
        <item x="29"/>
        <item x="48"/>
        <item x="70"/>
        <item x="88"/>
        <item x="79"/>
        <item x="94"/>
        <item x="24"/>
        <item x="51"/>
        <item x="7"/>
        <item x="13"/>
        <item t="default"/>
      </items>
    </pivotField>
    <pivotField showAll="0"/>
    <pivotField showAll="0"/>
    <pivotField axis="axisPage" multipleItemSelectionAllowed="1" showAll="0">
      <items count="5">
        <item x="0"/>
        <item x="1"/>
        <item x="2"/>
        <item x="3"/>
        <item t="default"/>
      </items>
    </pivotField>
    <pivotField numFmtId="164" showAll="0"/>
  </pivotFields>
  <rowFields count="1">
    <field x="3"/>
  </rowFields>
  <rowItems count="10">
    <i>
      <x v="1"/>
    </i>
    <i>
      <x v="2"/>
    </i>
    <i>
      <x v="3"/>
    </i>
    <i>
      <x v="4"/>
    </i>
    <i>
      <x v="5"/>
    </i>
    <i>
      <x v="6"/>
    </i>
    <i>
      <x v="7"/>
    </i>
    <i>
      <x v="8"/>
    </i>
    <i>
      <x v="17"/>
    </i>
    <i t="grand">
      <x/>
    </i>
  </rowItems>
  <colItems count="1">
    <i/>
  </colItems>
  <pageFields count="2">
    <pageField fld="0" item="0" hier="-1"/>
    <pageField fld="11" hier="-1"/>
  </pageFields>
  <dataFields count="1">
    <dataField name="Count of SKEMA" fld="3" subtotal="count" baseField="0" baseItem="0"/>
  </dataFields>
  <chartFormats count="2">
    <chartFormat chart="15" format="6"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location ref="A40:B43" firstHeaderRow="1" firstDataRow="1" firstDataCol="1" rowPageCount="2" colPageCount="1"/>
  <pivotFields count="13">
    <pivotField axis="axisPage" showAll="0">
      <items count="3">
        <item x="0"/>
        <item x="1"/>
        <item t="default"/>
      </items>
    </pivotField>
    <pivotField showAll="0">
      <items count="16">
        <item x="2"/>
        <item x="9"/>
        <item x="3"/>
        <item x="0"/>
        <item x="8"/>
        <item x="13"/>
        <item x="7"/>
        <item x="1"/>
        <item x="11"/>
        <item x="12"/>
        <item x="4"/>
        <item x="6"/>
        <item x="14"/>
        <item x="5"/>
        <item x="10"/>
        <item t="default"/>
      </items>
    </pivotField>
    <pivotField showAll="0"/>
    <pivotField showAll="0"/>
    <pivotField showAll="0"/>
    <pivotField showAll="0"/>
    <pivotField showAll="0"/>
    <pivotField showAll="0"/>
    <pivotField showAll="0"/>
    <pivotField showAll="0"/>
    <pivotField axis="axisRow" dataField="1" showAll="0">
      <items count="4">
        <item x="2"/>
        <item x="1"/>
        <item x="0"/>
        <item t="default"/>
      </items>
    </pivotField>
    <pivotField axis="axisPage" multipleItemSelectionAllowed="1" showAll="0">
      <items count="5">
        <item x="0"/>
        <item x="1"/>
        <item x="2"/>
        <item x="3"/>
        <item t="default"/>
      </items>
    </pivotField>
    <pivotField numFmtId="164" showAll="0"/>
  </pivotFields>
  <rowFields count="1">
    <field x="10"/>
  </rowFields>
  <rowItems count="3">
    <i>
      <x v="1"/>
    </i>
    <i>
      <x v="2"/>
    </i>
    <i t="grand">
      <x/>
    </i>
  </rowItems>
  <colItems count="1">
    <i/>
  </colItems>
  <pageFields count="2">
    <pageField fld="0" item="0" hier="-1"/>
    <pageField fld="11" hier="-1"/>
  </pageFields>
  <dataFields count="1">
    <dataField name="Count of STATUS USULAN" fld="10" subtotal="count" baseField="0" baseItem="0"/>
  </dataFields>
  <chartFormats count="4">
    <chartFormat chart="4"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end"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AA3:AB8" firstHeaderRow="1" firstDataRow="1" firstDataCol="1" rowPageCount="1" colPageCount="1"/>
  <pivotFields count="13">
    <pivotField axis="axisPage" showAll="0">
      <items count="3">
        <item x="0"/>
        <item x="1"/>
        <item t="default"/>
      </items>
    </pivotField>
    <pivotField showAll="0">
      <items count="16">
        <item x="2"/>
        <item h="1"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dataField="1" numFmtId="164" showAll="0"/>
  </pivotFields>
  <rowFields count="1">
    <field x="11"/>
  </rowFields>
  <rowItems count="5">
    <i>
      <x/>
    </i>
    <i>
      <x v="1"/>
    </i>
    <i>
      <x v="2"/>
    </i>
    <i>
      <x v="3"/>
    </i>
    <i t="grand">
      <x/>
    </i>
  </rowItems>
  <colItems count="1">
    <i/>
  </colItems>
  <pageFields count="1">
    <pageField fld="0" item="0" hier="-1"/>
  </pageFields>
  <dataFields count="1">
    <dataField name="Sum of PENDANAAN BIAYA" fld="12" baseField="0" baseItem="0"/>
  </dataFields>
  <chartFormats count="2">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E3:F8" firstHeaderRow="1" firstDataRow="1" firstDataCol="1" rowPageCount="1" colPageCount="1"/>
  <pivotFields count="13">
    <pivotField axis="axisPage" showAll="0">
      <items count="3">
        <item x="0"/>
        <item x="1"/>
        <item t="default"/>
      </items>
    </pivotField>
    <pivotField showAll="0">
      <items count="16">
        <item x="2"/>
        <item x="9"/>
        <item x="3"/>
        <item x="0"/>
        <item x="8"/>
        <item x="13"/>
        <item x="7"/>
        <item x="1"/>
        <item x="11"/>
        <item x="12"/>
        <item x="4"/>
        <item x="6"/>
        <item x="14"/>
        <item x="5"/>
        <item x="10"/>
        <item t="default"/>
      </items>
    </pivotField>
    <pivotField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dataField="1" numFmtId="164" showAll="0"/>
  </pivotFields>
  <rowFields count="1">
    <field x="11"/>
  </rowFields>
  <rowItems count="5">
    <i>
      <x/>
    </i>
    <i>
      <x v="1"/>
    </i>
    <i>
      <x v="2"/>
    </i>
    <i>
      <x v="3"/>
    </i>
    <i t="grand">
      <x/>
    </i>
  </rowItems>
  <colItems count="1">
    <i/>
  </colItems>
  <pageFields count="1">
    <pageField fld="0" item="0" hier="-1"/>
  </pageFields>
  <dataFields count="1">
    <dataField name="Sum of PENDANAAN BIAYA" fld="12" baseField="0" baseItem="0"/>
  </dataFields>
  <chartFormats count="3">
    <chartFormat chart="0" format="5"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location ref="E18:F23" firstHeaderRow="1" firstDataRow="1" firstDataCol="1" rowPageCount="1" colPageCount="1"/>
  <pivotFields count="13">
    <pivotField axis="axisPage" showAll="0">
      <items count="3">
        <item x="0"/>
        <item x="1"/>
        <item t="default"/>
      </items>
    </pivotField>
    <pivotField showAll="0"/>
    <pivotField showAll="0"/>
    <pivotField showAll="0"/>
    <pivotField showAll="0"/>
    <pivotField showAll="0"/>
    <pivotField showAll="0"/>
    <pivotField showAll="0"/>
    <pivotField dataField="1" showAll="0"/>
    <pivotField showAll="0"/>
    <pivotField showAll="0"/>
    <pivotField axis="axisRow" showAll="0">
      <items count="5">
        <item x="0"/>
        <item x="1"/>
        <item x="2"/>
        <item x="3"/>
        <item t="default"/>
      </items>
    </pivotField>
    <pivotField numFmtId="164" showAll="0"/>
  </pivotFields>
  <rowFields count="1">
    <field x="11"/>
  </rowFields>
  <rowItems count="5">
    <i>
      <x/>
    </i>
    <i>
      <x v="1"/>
    </i>
    <i>
      <x v="2"/>
    </i>
    <i>
      <x v="3"/>
    </i>
    <i t="grand">
      <x/>
    </i>
  </rowItems>
  <colItems count="1">
    <i/>
  </colItems>
  <pageFields count="1">
    <pageField fld="0" item="0" hier="-1"/>
  </pageFields>
  <dataFields count="1">
    <dataField name="Count of JUDUL" fld="8" subtotal="count" baseField="0" baseItem="0"/>
  </dataFields>
  <chartFormats count="3">
    <chartFormat chart="2"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6">
  <location ref="A48:B50" firstHeaderRow="1" firstDataRow="1" firstDataCol="1" rowPageCount="1" colPageCount="1"/>
  <pivotFields count="13">
    <pivotField axis="axisPage" showAll="0">
      <items count="3">
        <item x="0"/>
        <item x="1"/>
        <item t="default"/>
      </items>
    </pivotField>
    <pivotField showAll="0">
      <items count="16">
        <item x="2"/>
        <item x="9"/>
        <item x="3"/>
        <item x="0"/>
        <item x="8"/>
        <item x="13"/>
        <item x="7"/>
        <item x="1"/>
        <item x="11"/>
        <item x="12"/>
        <item x="4"/>
        <item x="6"/>
        <item x="14"/>
        <item x="5"/>
        <item x="10"/>
        <item t="default"/>
      </items>
    </pivotField>
    <pivotField showAll="0"/>
    <pivotField showAll="0"/>
    <pivotField showAll="0"/>
    <pivotField showAll="0"/>
    <pivotField showAll="0"/>
    <pivotField showAll="0"/>
    <pivotField showAll="0"/>
    <pivotField showAll="0"/>
    <pivotField showAll="0"/>
    <pivotField axis="axisRow" dataField="1" showAll="0">
      <items count="5">
        <item h="1" x="0"/>
        <item h="1" x="1"/>
        <item x="2"/>
        <item h="1" x="3"/>
        <item t="default"/>
      </items>
    </pivotField>
    <pivotField numFmtId="164" showAll="0"/>
  </pivotFields>
  <rowFields count="1">
    <field x="11"/>
  </rowFields>
  <rowItems count="2">
    <i>
      <x v="2"/>
    </i>
    <i t="grand">
      <x/>
    </i>
  </rowItems>
  <colItems count="1">
    <i/>
  </colItems>
  <pageFields count="1">
    <pageField fld="0" item="0" hier="-1"/>
  </pageFields>
  <dataFields count="1">
    <dataField name="Count of TAHUN" fld="11" subtotal="count" baseField="11" baseItem="0"/>
  </dataFields>
  <chartFormats count="2">
    <chartFormat chart="19"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Jum"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AA26:AB31" firstHeaderRow="1" firstDataRow="1" firstDataCol="1" rowPageCount="1" colPageCount="1"/>
  <pivotFields count="13">
    <pivotField axis="axisPage" showAll="0">
      <items count="3">
        <item x="0"/>
        <item x="1"/>
        <item t="default"/>
      </items>
    </pivotField>
    <pivotField showAll="0">
      <items count="16">
        <item x="2"/>
        <item h="1"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dataField="1" showAll="0"/>
    <pivotField showAll="0"/>
    <pivotField showAll="0"/>
    <pivotField axis="axisRow" showAll="0">
      <items count="5">
        <item x="0"/>
        <item x="1"/>
        <item x="2"/>
        <item x="3"/>
        <item t="default"/>
      </items>
    </pivotField>
    <pivotField numFmtId="164" showAll="0"/>
  </pivotFields>
  <rowFields count="1">
    <field x="11"/>
  </rowFields>
  <rowItems count="5">
    <i>
      <x/>
    </i>
    <i>
      <x v="1"/>
    </i>
    <i>
      <x v="2"/>
    </i>
    <i>
      <x v="3"/>
    </i>
    <i t="grand">
      <x/>
    </i>
  </rowItems>
  <colItems count="1">
    <i/>
  </colItems>
  <pageFields count="1">
    <pageField fld="0" item="0" hier="-1"/>
  </pageFields>
  <dataFields count="1">
    <dataField name="Count of JUDUL" fld="8" subtotal="count" baseField="0" baseItem="0"/>
  </dataFields>
  <chartFormats count="6">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51:L56" firstHeaderRow="1" firstDataRow="1" firstDataCol="1" rowPageCount="1" colPageCount="1"/>
  <pivotFields count="13">
    <pivotField axis="axisPage" showAll="0">
      <items count="3">
        <item x="0"/>
        <item x="1"/>
        <item t="default"/>
      </items>
    </pivotField>
    <pivotField showAll="0">
      <items count="16">
        <item h="1" x="2"/>
        <item h="1" x="9"/>
        <item h="1" x="3"/>
        <item h="1" x="0"/>
        <item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dataField="1" numFmtId="164" showAll="0"/>
  </pivotFields>
  <rowFields count="1">
    <field x="11"/>
  </rowFields>
  <rowItems count="5">
    <i>
      <x/>
    </i>
    <i>
      <x v="1"/>
    </i>
    <i>
      <x v="2"/>
    </i>
    <i>
      <x v="3"/>
    </i>
    <i t="grand">
      <x/>
    </i>
  </rowItems>
  <colItems count="1">
    <i/>
  </colItems>
  <pageFields count="1">
    <pageField fld="0" hier="-1"/>
  </pageFields>
  <dataFields count="1">
    <dataField name="Sum of PENDANAAN BIAYA"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Ske"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W3:X6" firstHeaderRow="1" firstDataRow="1" firstDataCol="1" rowPageCount="1" colPageCount="1"/>
  <pivotFields count="13">
    <pivotField axis="axisPage" showAll="0">
      <items count="3">
        <item x="0"/>
        <item x="1"/>
        <item t="default"/>
      </items>
    </pivotField>
    <pivotField showAll="0">
      <items count="16">
        <item x="2"/>
        <item h="1" x="9"/>
        <item h="1" x="3"/>
        <item h="1" x="0"/>
        <item h="1" x="8"/>
        <item h="1" x="13"/>
        <item h="1" x="7"/>
        <item h="1" x="1"/>
        <item h="1" x="11"/>
        <item h="1" x="12"/>
        <item h="1" x="4"/>
        <item h="1" x="6"/>
        <item h="1" x="14"/>
        <item h="1" x="5"/>
        <item h="1" x="10"/>
        <item t="default"/>
      </items>
    </pivotField>
    <pivotField showAll="0"/>
    <pivotField axis="axisRow" dataField="1" showAll="0">
      <items count="19">
        <item x="16"/>
        <item x="4"/>
        <item x="7"/>
        <item x="0"/>
        <item x="1"/>
        <item x="5"/>
        <item x="6"/>
        <item x="8"/>
        <item x="2"/>
        <item x="9"/>
        <item x="11"/>
        <item x="15"/>
        <item x="12"/>
        <item x="17"/>
        <item x="13"/>
        <item x="14"/>
        <item x="10"/>
        <item x="3"/>
        <item t="default"/>
      </items>
    </pivotField>
    <pivotField showAll="0"/>
    <pivotField showAll="0"/>
    <pivotField showAll="0"/>
    <pivotField showAll="0"/>
    <pivotField showAll="0"/>
    <pivotField showAll="0"/>
    <pivotField showAll="0"/>
    <pivotField showAll="0">
      <items count="5">
        <item x="0"/>
        <item x="1"/>
        <item x="2"/>
        <item x="3"/>
        <item t="default"/>
      </items>
    </pivotField>
    <pivotField numFmtId="164" showAll="0"/>
  </pivotFields>
  <rowFields count="1">
    <field x="3"/>
  </rowFields>
  <rowItems count="3">
    <i>
      <x v="3"/>
    </i>
    <i>
      <x v="17"/>
    </i>
    <i t="grand">
      <x/>
    </i>
  </rowItems>
  <colItems count="1">
    <i/>
  </colItems>
  <pageFields count="1">
    <pageField fld="0" item="0" hier="-1"/>
  </pageFields>
  <dataFields count="1">
    <dataField name="Count of SKEMA" fld="3" subtotal="count" baseField="0" baseItem="0"/>
  </dataFields>
  <chartFormats count="2">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59">
  <location ref="A58:B60" firstHeaderRow="1" firstDataRow="1" firstDataCol="1" rowPageCount="1" colPageCount="1"/>
  <pivotFields count="13">
    <pivotField axis="axisPage" showAll="0">
      <items count="3">
        <item x="0"/>
        <item x="1"/>
        <item t="default"/>
      </items>
    </pivotField>
    <pivotField showAll="0">
      <items count="16">
        <item x="2"/>
        <item x="9"/>
        <item x="3"/>
        <item x="0"/>
        <item x="8"/>
        <item x="13"/>
        <item x="7"/>
        <item x="1"/>
        <item x="11"/>
        <item x="12"/>
        <item x="4"/>
        <item x="6"/>
        <item x="14"/>
        <item x="5"/>
        <item x="10"/>
        <item t="default"/>
      </items>
    </pivotField>
    <pivotField showAll="0"/>
    <pivotField showAll="0"/>
    <pivotField showAll="0"/>
    <pivotField showAll="0"/>
    <pivotField showAll="0"/>
    <pivotField showAll="0"/>
    <pivotField showAll="0"/>
    <pivotField showAll="0"/>
    <pivotField showAll="0"/>
    <pivotField axis="axisRow" showAll="0">
      <items count="5">
        <item h="1" x="0"/>
        <item h="1" x="1"/>
        <item x="2"/>
        <item h="1" x="3"/>
        <item t="default"/>
      </items>
    </pivotField>
    <pivotField dataField="1" numFmtId="164" showAll="0"/>
  </pivotFields>
  <rowFields count="1">
    <field x="11"/>
  </rowFields>
  <rowItems count="2">
    <i>
      <x v="2"/>
    </i>
    <i t="grand">
      <x/>
    </i>
  </rowItems>
  <colItems count="1">
    <i/>
  </colItems>
  <pageFields count="1">
    <pageField fld="0" item="0" hier="-1"/>
  </pageFields>
  <dataFields count="1">
    <dataField name="Sum of PENDANAAN BIAYA" fld="12" baseField="0" baseItem="0"/>
  </dataFields>
  <chartFormats count="1">
    <chartFormat chart="5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A4:B20" firstHeaderRow="1" firstDataRow="1" firstDataCol="1" rowPageCount="2" colPageCount="1"/>
  <pivotFields count="13">
    <pivotField axis="axisPage" showAll="0">
      <items count="3">
        <item x="0"/>
        <item x="1"/>
        <item t="default"/>
      </items>
    </pivotField>
    <pivotField axis="axisRow" dataField="1" showAll="0">
      <items count="16">
        <item x="2"/>
        <item x="9"/>
        <item x="3"/>
        <item x="0"/>
        <item x="8"/>
        <item x="13"/>
        <item x="7"/>
        <item x="1"/>
        <item x="11"/>
        <item x="12"/>
        <item x="4"/>
        <item x="6"/>
        <item x="14"/>
        <item x="5"/>
        <item x="10"/>
        <item t="default"/>
      </items>
    </pivotField>
    <pivotField showAll="0">
      <items count="161">
        <item x="53"/>
        <item x="47"/>
        <item x="110"/>
        <item x="51"/>
        <item x="59"/>
        <item x="58"/>
        <item x="78"/>
        <item x="26"/>
        <item x="134"/>
        <item x="131"/>
        <item x="45"/>
        <item x="35"/>
        <item x="149"/>
        <item x="23"/>
        <item x="7"/>
        <item x="15"/>
        <item x="116"/>
        <item x="158"/>
        <item x="142"/>
        <item x="146"/>
        <item x="90"/>
        <item x="114"/>
        <item x="124"/>
        <item x="148"/>
        <item x="41"/>
        <item x="138"/>
        <item x="125"/>
        <item x="38"/>
        <item x="106"/>
        <item x="27"/>
        <item x="49"/>
        <item x="33"/>
        <item x="84"/>
        <item x="0"/>
        <item x="5"/>
        <item x="34"/>
        <item x="42"/>
        <item x="79"/>
        <item x="24"/>
        <item x="66"/>
        <item x="75"/>
        <item x="62"/>
        <item x="61"/>
        <item x="40"/>
        <item x="13"/>
        <item x="10"/>
        <item x="71"/>
        <item x="143"/>
        <item x="155"/>
        <item x="129"/>
        <item x="3"/>
        <item x="120"/>
        <item x="141"/>
        <item x="14"/>
        <item x="144"/>
        <item x="98"/>
        <item x="28"/>
        <item x="150"/>
        <item x="25"/>
        <item x="56"/>
        <item x="2"/>
        <item x="91"/>
        <item x="85"/>
        <item x="60"/>
        <item x="121"/>
        <item x="103"/>
        <item x="12"/>
        <item x="83"/>
        <item x="145"/>
        <item x="151"/>
        <item x="17"/>
        <item x="153"/>
        <item x="127"/>
        <item x="29"/>
        <item x="44"/>
        <item x="73"/>
        <item x="30"/>
        <item x="11"/>
        <item x="132"/>
        <item x="87"/>
        <item x="6"/>
        <item x="54"/>
        <item x="86"/>
        <item x="81"/>
        <item x="9"/>
        <item x="4"/>
        <item x="69"/>
        <item x="89"/>
        <item x="102"/>
        <item x="39"/>
        <item x="88"/>
        <item x="130"/>
        <item x="19"/>
        <item x="92"/>
        <item x="112"/>
        <item x="156"/>
        <item x="107"/>
        <item x="80"/>
        <item x="93"/>
        <item x="104"/>
        <item x="63"/>
        <item x="20"/>
        <item x="77"/>
        <item x="50"/>
        <item x="115"/>
        <item x="137"/>
        <item x="105"/>
        <item x="94"/>
        <item x="128"/>
        <item x="126"/>
        <item x="152"/>
        <item x="136"/>
        <item x="139"/>
        <item x="82"/>
        <item x="64"/>
        <item x="46"/>
        <item x="55"/>
        <item x="67"/>
        <item x="118"/>
        <item x="123"/>
        <item x="65"/>
        <item x="18"/>
        <item x="31"/>
        <item x="97"/>
        <item x="96"/>
        <item x="99"/>
        <item x="108"/>
        <item x="113"/>
        <item x="159"/>
        <item x="16"/>
        <item x="37"/>
        <item x="32"/>
        <item x="111"/>
        <item x="95"/>
        <item x="119"/>
        <item x="154"/>
        <item x="48"/>
        <item x="21"/>
        <item x="76"/>
        <item x="133"/>
        <item x="1"/>
        <item x="122"/>
        <item x="57"/>
        <item x="100"/>
        <item x="109"/>
        <item x="68"/>
        <item x="72"/>
        <item x="36"/>
        <item x="117"/>
        <item x="70"/>
        <item x="157"/>
        <item x="140"/>
        <item x="135"/>
        <item x="74"/>
        <item x="43"/>
        <item x="147"/>
        <item x="101"/>
        <item x="8"/>
        <item x="22"/>
        <item x="52"/>
        <item t="default"/>
      </items>
    </pivotField>
    <pivotField showAll="0"/>
    <pivotField showAll="0"/>
    <pivotField showAll="0"/>
    <pivotField showAll="0"/>
    <pivotField showAll="0"/>
    <pivotField showAll="0"/>
    <pivotField showAll="0"/>
    <pivotField showAll="0">
      <items count="4">
        <item x="2"/>
        <item x="1"/>
        <item x="0"/>
        <item t="default"/>
      </items>
    </pivotField>
    <pivotField axis="axisPage" multipleItemSelectionAllowed="1" showAll="0">
      <items count="5">
        <item x="0"/>
        <item x="1"/>
        <item x="2"/>
        <item x="3"/>
        <item t="default"/>
      </items>
    </pivotField>
    <pivotField numFmtId="164" showAll="0"/>
  </pivotFields>
  <rowFields count="1">
    <field x="1"/>
  </rowFields>
  <rowItems count="16">
    <i>
      <x/>
    </i>
    <i>
      <x v="1"/>
    </i>
    <i>
      <x v="2"/>
    </i>
    <i>
      <x v="3"/>
    </i>
    <i>
      <x v="4"/>
    </i>
    <i>
      <x v="5"/>
    </i>
    <i>
      <x v="6"/>
    </i>
    <i>
      <x v="7"/>
    </i>
    <i>
      <x v="8"/>
    </i>
    <i>
      <x v="9"/>
    </i>
    <i>
      <x v="10"/>
    </i>
    <i>
      <x v="11"/>
    </i>
    <i>
      <x v="12"/>
    </i>
    <i>
      <x v="13"/>
    </i>
    <i>
      <x v="14"/>
    </i>
    <i t="grand">
      <x/>
    </i>
  </rowItems>
  <colItems count="1">
    <i/>
  </colItems>
  <pageFields count="2">
    <pageField fld="0" item="0" hier="-1"/>
    <pageField fld="11" hier="-1"/>
  </pageFields>
  <dataFields count="1">
    <dataField name="Count of PTN / LLDIKTI" fld="1" subtotal="count" baseField="0" baseItem="0"/>
  </dataFields>
  <chartFormats count="2">
    <chartFormat chart="8"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location ref="AA3:AB8"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dataField="1" showAll="0"/>
    <pivotField showAll="0"/>
    <pivotField showAll="0"/>
    <pivotField axis="axisRow" showAll="0">
      <items count="5">
        <item x="0"/>
        <item x="1"/>
        <item x="2"/>
        <item x="3"/>
        <item t="default"/>
      </items>
    </pivotField>
    <pivotField numFmtId="164" showAll="0"/>
  </pivotFields>
  <rowFields count="1">
    <field x="11"/>
  </rowFields>
  <rowItems count="5">
    <i>
      <x/>
    </i>
    <i>
      <x v="1"/>
    </i>
    <i>
      <x v="2"/>
    </i>
    <i>
      <x v="3"/>
    </i>
    <i t="grand">
      <x/>
    </i>
  </rowItems>
  <colItems count="1">
    <i/>
  </colItems>
  <pageFields count="1">
    <pageField fld="0" item="1" hier="-1"/>
  </pageFields>
  <dataFields count="1">
    <dataField name="Count of JUDUL" fld="8" subtotal="count" baseField="0" baseItem="0"/>
  </dataFields>
  <chartFormats count="2">
    <chartFormat chart="2" format="2"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7">
  <location ref="A24:B29"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dataField="1" numFmtId="164" showAll="0"/>
  </pivotFields>
  <rowFields count="1">
    <field x="11"/>
  </rowFields>
  <rowItems count="5">
    <i>
      <x/>
    </i>
    <i>
      <x v="1"/>
    </i>
    <i>
      <x v="2"/>
    </i>
    <i>
      <x v="3"/>
    </i>
    <i t="grand">
      <x/>
    </i>
  </rowItems>
  <colItems count="1">
    <i/>
  </colItems>
  <pageFields count="1">
    <pageField fld="0" item="1" hier="-1"/>
  </pageFields>
  <dataFields count="1">
    <dataField name="Sum of PENDANAAN BIAYA" fld="12" baseField="0" baseItem="0"/>
  </dataFields>
  <chartFormats count="2">
    <chartFormat chart="0" format="3"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M33:N41"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axis="axisRow" showAll="0">
      <items count="161">
        <item x="53"/>
        <item x="47"/>
        <item x="110"/>
        <item x="51"/>
        <item x="59"/>
        <item x="58"/>
        <item x="78"/>
        <item x="26"/>
        <item x="134"/>
        <item x="131"/>
        <item x="45"/>
        <item x="35"/>
        <item x="149"/>
        <item x="23"/>
        <item x="7"/>
        <item x="15"/>
        <item x="116"/>
        <item x="158"/>
        <item x="142"/>
        <item x="146"/>
        <item x="90"/>
        <item x="114"/>
        <item x="124"/>
        <item x="148"/>
        <item x="41"/>
        <item x="138"/>
        <item x="125"/>
        <item x="38"/>
        <item x="106"/>
        <item x="27"/>
        <item x="49"/>
        <item x="33"/>
        <item x="84"/>
        <item x="0"/>
        <item x="5"/>
        <item x="34"/>
        <item x="42"/>
        <item x="79"/>
        <item x="24"/>
        <item x="66"/>
        <item x="75"/>
        <item x="62"/>
        <item x="61"/>
        <item x="40"/>
        <item x="13"/>
        <item x="10"/>
        <item x="71"/>
        <item x="143"/>
        <item x="155"/>
        <item x="129"/>
        <item x="3"/>
        <item x="120"/>
        <item x="141"/>
        <item x="14"/>
        <item x="144"/>
        <item x="98"/>
        <item x="28"/>
        <item x="150"/>
        <item x="25"/>
        <item x="56"/>
        <item x="2"/>
        <item x="91"/>
        <item x="85"/>
        <item x="60"/>
        <item x="121"/>
        <item x="103"/>
        <item x="12"/>
        <item x="83"/>
        <item x="145"/>
        <item x="151"/>
        <item x="17"/>
        <item x="153"/>
        <item x="127"/>
        <item x="29"/>
        <item x="44"/>
        <item x="73"/>
        <item x="30"/>
        <item x="11"/>
        <item x="132"/>
        <item x="87"/>
        <item x="6"/>
        <item x="54"/>
        <item x="86"/>
        <item x="81"/>
        <item x="9"/>
        <item x="4"/>
        <item x="69"/>
        <item x="89"/>
        <item x="102"/>
        <item x="39"/>
        <item x="88"/>
        <item x="130"/>
        <item x="19"/>
        <item x="92"/>
        <item x="112"/>
        <item x="156"/>
        <item x="107"/>
        <item x="80"/>
        <item x="93"/>
        <item x="104"/>
        <item x="63"/>
        <item x="20"/>
        <item x="77"/>
        <item x="50"/>
        <item x="115"/>
        <item x="137"/>
        <item x="105"/>
        <item x="94"/>
        <item x="128"/>
        <item x="126"/>
        <item x="152"/>
        <item x="136"/>
        <item x="139"/>
        <item x="82"/>
        <item x="64"/>
        <item x="46"/>
        <item x="55"/>
        <item x="67"/>
        <item x="118"/>
        <item x="123"/>
        <item x="65"/>
        <item x="18"/>
        <item x="31"/>
        <item x="97"/>
        <item x="96"/>
        <item x="99"/>
        <item x="108"/>
        <item x="113"/>
        <item x="159"/>
        <item x="16"/>
        <item x="37"/>
        <item x="32"/>
        <item x="111"/>
        <item x="95"/>
        <item x="119"/>
        <item x="154"/>
        <item x="48"/>
        <item x="21"/>
        <item x="76"/>
        <item x="133"/>
        <item x="1"/>
        <item x="122"/>
        <item x="57"/>
        <item x="100"/>
        <item x="109"/>
        <item x="68"/>
        <item x="72"/>
        <item x="36"/>
        <item x="117"/>
        <item x="70"/>
        <item x="157"/>
        <item x="140"/>
        <item x="135"/>
        <item x="74"/>
        <item x="43"/>
        <item x="147"/>
        <item x="101"/>
        <item x="8"/>
        <item x="22"/>
        <item x="52"/>
        <item t="default"/>
      </items>
    </pivotField>
    <pivotField showAll="0"/>
    <pivotField showAll="0"/>
    <pivotField showAll="0"/>
    <pivotField showAll="0"/>
    <pivotField showAll="0"/>
    <pivotField dataField="1" showAll="0"/>
    <pivotField showAll="0"/>
    <pivotField showAll="0"/>
    <pivotField showAll="0">
      <items count="5">
        <item x="0"/>
        <item x="1"/>
        <item x="2"/>
        <item x="3"/>
        <item t="default"/>
      </items>
    </pivotField>
    <pivotField numFmtId="164" showAll="0"/>
  </pivotFields>
  <rowFields count="1">
    <field x="2"/>
  </rowFields>
  <rowItems count="8">
    <i>
      <x v="8"/>
    </i>
    <i>
      <x v="17"/>
    </i>
    <i>
      <x v="18"/>
    </i>
    <i>
      <x v="25"/>
    </i>
    <i>
      <x v="128"/>
    </i>
    <i>
      <x v="144"/>
    </i>
    <i>
      <x v="148"/>
    </i>
    <i t="grand">
      <x/>
    </i>
  </rowItems>
  <colItems count="1">
    <i/>
  </colItems>
  <pageFields count="1">
    <pageField fld="0" item="1" hier="-1"/>
  </pageFields>
  <dataFields count="1">
    <dataField name="Count of JUDUL" fld="8" subtotal="count"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A3:B18" firstHeaderRow="1" firstDataRow="1" firstDataCol="1" rowPageCount="1" colPageCount="1"/>
  <pivotFields count="13">
    <pivotField axis="axisPage" showAll="0">
      <items count="3">
        <item x="0"/>
        <item x="1"/>
        <item t="default"/>
      </items>
    </pivotField>
    <pivotField axis="axisRow" showAll="0">
      <items count="16">
        <item x="2"/>
        <item x="9"/>
        <item x="3"/>
        <item x="0"/>
        <item x="8"/>
        <item x="13"/>
        <item x="7"/>
        <item x="1"/>
        <item x="11"/>
        <item x="12"/>
        <item x="4"/>
        <item x="6"/>
        <item x="14"/>
        <item x="5"/>
        <item x="10"/>
        <item t="default"/>
      </items>
    </pivotField>
    <pivotField showAll="0"/>
    <pivotField showAll="0"/>
    <pivotField showAll="0"/>
    <pivotField showAll="0"/>
    <pivotField showAll="0"/>
    <pivotField showAll="0"/>
    <pivotField dataField="1" showAll="0"/>
    <pivotField showAll="0"/>
    <pivotField showAll="0"/>
    <pivotField showAll="0">
      <items count="5">
        <item x="0"/>
        <item x="1"/>
        <item x="2"/>
        <item x="3"/>
        <item t="default"/>
      </items>
    </pivotField>
    <pivotField numFmtId="164" showAll="0"/>
  </pivotFields>
  <rowFields count="1">
    <field x="1"/>
  </rowFields>
  <rowItems count="15">
    <i>
      <x/>
    </i>
    <i>
      <x v="1"/>
    </i>
    <i>
      <x v="2"/>
    </i>
    <i>
      <x v="3"/>
    </i>
    <i>
      <x v="4"/>
    </i>
    <i>
      <x v="5"/>
    </i>
    <i>
      <x v="6"/>
    </i>
    <i>
      <x v="7"/>
    </i>
    <i>
      <x v="8"/>
    </i>
    <i>
      <x v="9"/>
    </i>
    <i>
      <x v="10"/>
    </i>
    <i>
      <x v="11"/>
    </i>
    <i>
      <x v="12"/>
    </i>
    <i>
      <x v="14"/>
    </i>
    <i t="grand">
      <x/>
    </i>
  </rowItems>
  <colItems count="1">
    <i/>
  </colItems>
  <pageFields count="1">
    <pageField fld="0" item="1" hier="-1"/>
  </pageFields>
  <dataFields count="1">
    <dataField name="Count of JUDUL" fld="8" subtotal="count" baseField="0" baseItem="0"/>
  </dataFields>
  <chartFormats count="3">
    <chartFormat chart="0"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K19:L29"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showAll="0"/>
    <pivotField axis="axisRow" showAll="0">
      <items count="19">
        <item x="16"/>
        <item x="4"/>
        <item x="7"/>
        <item x="0"/>
        <item x="1"/>
        <item x="5"/>
        <item x="6"/>
        <item x="8"/>
        <item x="2"/>
        <item x="9"/>
        <item x="11"/>
        <item x="15"/>
        <item x="12"/>
        <item x="17"/>
        <item x="13"/>
        <item x="14"/>
        <item x="10"/>
        <item x="3"/>
        <item t="default"/>
      </items>
    </pivotField>
    <pivotField showAll="0"/>
    <pivotField showAll="0"/>
    <pivotField showAll="0"/>
    <pivotField showAll="0"/>
    <pivotField dataField="1" showAll="0"/>
    <pivotField showAll="0"/>
    <pivotField showAll="0"/>
    <pivotField showAll="0">
      <items count="5">
        <item x="0"/>
        <item x="1"/>
        <item x="2"/>
        <item x="3"/>
        <item t="default"/>
      </items>
    </pivotField>
    <pivotField numFmtId="164" showAll="0"/>
  </pivotFields>
  <rowFields count="1">
    <field x="3"/>
  </rowFields>
  <rowItems count="10">
    <i>
      <x/>
    </i>
    <i>
      <x v="9"/>
    </i>
    <i>
      <x v="10"/>
    </i>
    <i>
      <x v="11"/>
    </i>
    <i>
      <x v="12"/>
    </i>
    <i>
      <x v="13"/>
    </i>
    <i>
      <x v="14"/>
    </i>
    <i>
      <x v="15"/>
    </i>
    <i>
      <x v="16"/>
    </i>
    <i t="grand">
      <x/>
    </i>
  </rowItems>
  <colItems count="1">
    <i/>
  </colItems>
  <pageFields count="1">
    <pageField fld="0" item="1" hier="-1"/>
  </pageFields>
  <dataFields count="1">
    <dataField name="Count of JUDUL" fld="8" subtotal="count" baseField="0" baseItem="0"/>
  </dataFields>
  <chartFormats count="3">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U3:V8"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showAll="0"/>
    <pivotField axis="axisRow" showAll="0">
      <items count="19">
        <item x="16"/>
        <item x="4"/>
        <item x="7"/>
        <item x="0"/>
        <item x="1"/>
        <item x="5"/>
        <item x="6"/>
        <item x="8"/>
        <item x="2"/>
        <item x="9"/>
        <item x="11"/>
        <item x="15"/>
        <item x="12"/>
        <item x="17"/>
        <item x="13"/>
        <item x="14"/>
        <item x="10"/>
        <item x="3"/>
        <item t="default"/>
      </items>
    </pivotField>
    <pivotField showAll="0"/>
    <pivotField showAll="0"/>
    <pivotField showAll="0"/>
    <pivotField showAll="0"/>
    <pivotField dataField="1" showAll="0"/>
    <pivotField showAll="0"/>
    <pivotField showAll="0"/>
    <pivotField showAll="0">
      <items count="5">
        <item x="0"/>
        <item x="1"/>
        <item x="2"/>
        <item x="3"/>
        <item t="default"/>
      </items>
    </pivotField>
    <pivotField numFmtId="164" showAll="0"/>
  </pivotFields>
  <rowFields count="1">
    <field x="3"/>
  </rowFields>
  <rowItems count="5">
    <i>
      <x/>
    </i>
    <i>
      <x v="9"/>
    </i>
    <i>
      <x v="10"/>
    </i>
    <i>
      <x v="12"/>
    </i>
    <i t="grand">
      <x/>
    </i>
  </rowItems>
  <colItems count="1">
    <i/>
  </colItems>
  <pageFields count="1">
    <pageField fld="0" item="1" hier="-1"/>
  </pageFields>
  <dataFields count="1">
    <dataField name="Count of JUDUL" fld="8" subtotal="count" baseField="0" baseItem="0"/>
  </dataField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U31:V36"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dataField="1" numFmtId="164" showAll="0"/>
  </pivotFields>
  <rowFields count="1">
    <field x="11"/>
  </rowFields>
  <rowItems count="5">
    <i>
      <x/>
    </i>
    <i>
      <x v="1"/>
    </i>
    <i>
      <x v="2"/>
    </i>
    <i>
      <x v="3"/>
    </i>
    <i t="grand">
      <x/>
    </i>
  </rowItems>
  <colItems count="1">
    <i/>
  </colItems>
  <pageFields count="1">
    <pageField fld="0" item="1" hier="-1"/>
  </pageFields>
  <dataFields count="1">
    <dataField name="Sum of PENDANAAN BIAYA" fld="12"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6">
  <location ref="J34:K39" firstHeaderRow="1" firstDataRow="1" firstDataCol="1" rowPageCount="1" colPageCount="1"/>
  <pivotFields count="13">
    <pivotField axis="axisPage" showAll="0">
      <items count="3">
        <item x="0"/>
        <item x="1"/>
        <item t="default"/>
      </items>
    </pivotField>
    <pivotField showAll="0">
      <items count="16">
        <item h="1" x="2"/>
        <item x="9"/>
        <item h="1" x="3"/>
        <item h="1" x="0"/>
        <item h="1" x="8"/>
        <item h="1" x="13"/>
        <item h="1" x="7"/>
        <item h="1" x="1"/>
        <item h="1" x="11"/>
        <item h="1" x="12"/>
        <item h="1" x="4"/>
        <item h="1" x="6"/>
        <item h="1" x="14"/>
        <item h="1" x="5"/>
        <item h="1" x="10"/>
        <item t="default"/>
      </items>
    </pivotField>
    <pivotField showAll="0"/>
    <pivotField showAll="0"/>
    <pivotField showAll="0"/>
    <pivotField showAll="0"/>
    <pivotField showAll="0"/>
    <pivotField showAll="0"/>
    <pivotField dataField="1" showAll="0"/>
    <pivotField showAll="0"/>
    <pivotField showAll="0"/>
    <pivotField axis="axisRow" showAll="0">
      <items count="5">
        <item x="0"/>
        <item x="1"/>
        <item x="2"/>
        <item x="3"/>
        <item t="default"/>
      </items>
    </pivotField>
    <pivotField numFmtId="164" showAll="0"/>
  </pivotFields>
  <rowFields count="1">
    <field x="11"/>
  </rowFields>
  <rowItems count="5">
    <i>
      <x/>
    </i>
    <i>
      <x v="1"/>
    </i>
    <i>
      <x v="2"/>
    </i>
    <i>
      <x v="3"/>
    </i>
    <i t="grand">
      <x/>
    </i>
  </rowItems>
  <colItems count="1">
    <i/>
  </colItems>
  <pageFields count="1">
    <pageField fld="0" item="1" hier="-1"/>
  </pageFields>
  <dataFields count="1">
    <dataField name="Count of JUDUL" fld="8" subtotal="count" baseField="0" baseItem="0"/>
  </dataFields>
  <chartFormats count="3">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8">
  <location ref="E48:H54" firstHeaderRow="1" firstDataRow="2" firstDataCol="1"/>
  <pivotFields count="4">
    <pivotField axis="axisCol" showAll="0">
      <items count="3">
        <item x="0"/>
        <item x="1"/>
        <item t="default"/>
      </items>
    </pivotField>
    <pivotField showAll="0"/>
    <pivotField axis="axisRow" showAll="0">
      <items count="5">
        <item x="0"/>
        <item x="1"/>
        <item x="2"/>
        <item x="3"/>
        <item t="default"/>
      </items>
    </pivotField>
    <pivotField dataField="1" showAll="0">
      <items count="227">
        <item h="1" x="74"/>
        <item x="200"/>
        <item h="1" x="199"/>
        <item h="1" x="204"/>
        <item h="1" x="141"/>
        <item h="1" x="62"/>
        <item h="1" x="79"/>
        <item h="1" x="51"/>
        <item h="1" x="108"/>
        <item h="1" x="191"/>
        <item h="1" x="67"/>
        <item h="1" x="20"/>
        <item h="1" x="172"/>
        <item h="1" x="134"/>
        <item h="1" x="151"/>
        <item h="1" x="46"/>
        <item h="1" x="78"/>
        <item h="1" x="36"/>
        <item h="1" x="196"/>
        <item h="1" x="86"/>
        <item h="1" x="58"/>
        <item h="1" x="105"/>
        <item h="1" x="110"/>
        <item h="1" x="185"/>
        <item h="1" x="164"/>
        <item h="1" x="131"/>
        <item h="1" x="34"/>
        <item h="1" x="13"/>
        <item h="1" x="95"/>
        <item h="1" x="154"/>
        <item h="1" x="183"/>
        <item h="1" x="161"/>
        <item h="1" x="180"/>
        <item h="1" x="223"/>
        <item h="1" x="85"/>
        <item h="1" x="18"/>
        <item h="1" x="33"/>
        <item h="1" x="22"/>
        <item h="1" x="169"/>
        <item h="1" x="15"/>
        <item h="1" x="138"/>
        <item h="1" x="184"/>
        <item h="1" x="40"/>
        <item h="1" x="218"/>
        <item h="1" x="44"/>
        <item h="1" x="166"/>
        <item h="1" x="179"/>
        <item h="1" x="114"/>
        <item h="1" x="49"/>
        <item h="1" x="19"/>
        <item h="1" x="217"/>
        <item h="1" x="10"/>
        <item h="1" x="21"/>
        <item h="1" x="81"/>
        <item h="1" x="160"/>
        <item h="1" x="152"/>
        <item h="1" x="70"/>
        <item h="1" x="210"/>
        <item h="1" x="39"/>
        <item h="1" x="12"/>
        <item h="1" x="72"/>
        <item h="1" x="11"/>
        <item h="1" x="187"/>
        <item h="1" x="98"/>
        <item h="1" x="104"/>
        <item h="1" x="17"/>
        <item h="1" x="92"/>
        <item h="1" x="43"/>
        <item h="1" x="145"/>
        <item h="1" x="60"/>
        <item h="1" x="75"/>
        <item h="1" x="93"/>
        <item h="1" x="186"/>
        <item h="1" x="96"/>
        <item h="1" x="52"/>
        <item h="1" x="30"/>
        <item h="1" x="109"/>
        <item h="1" x="125"/>
        <item h="1" x="47"/>
        <item h="1" x="208"/>
        <item h="1" x="68"/>
        <item h="1" x="42"/>
        <item h="1" x="126"/>
        <item h="1" x="206"/>
        <item h="1" x="66"/>
        <item h="1" x="182"/>
        <item h="1" x="61"/>
        <item h="1" x="102"/>
        <item h="1" x="142"/>
        <item h="1" x="214"/>
        <item h="1" x="25"/>
        <item h="1" x="88"/>
        <item h="1" x="198"/>
        <item h="1" x="159"/>
        <item h="1" x="149"/>
        <item h="1" x="167"/>
        <item h="1" x="87"/>
        <item h="1" x="203"/>
        <item h="1" x="175"/>
        <item h="1" x="165"/>
        <item h="1" x="127"/>
        <item h="1" x="207"/>
        <item h="1" x="121"/>
        <item h="1" x="155"/>
        <item h="1" x="0"/>
        <item h="1" x="71"/>
        <item h="1" x="80"/>
        <item h="1" x="14"/>
        <item h="1" x="2"/>
        <item h="1" x="225"/>
        <item h="1" x="137"/>
        <item h="1" x="29"/>
        <item h="1" x="147"/>
        <item h="1" x="163"/>
        <item h="1" x="84"/>
        <item h="1" x="100"/>
        <item h="1" x="76"/>
        <item h="1" x="118"/>
        <item h="1" x="112"/>
        <item h="1" x="38"/>
        <item h="1" x="202"/>
        <item h="1" x="168"/>
        <item h="1" x="56"/>
        <item h="1" x="177"/>
        <item h="1" x="48"/>
        <item h="1" x="116"/>
        <item h="1" x="69"/>
        <item h="1" x="144"/>
        <item h="1" x="176"/>
        <item h="1" x="197"/>
        <item h="1" x="188"/>
        <item h="1" x="173"/>
        <item h="1" x="192"/>
        <item h="1" x="31"/>
        <item h="1" x="209"/>
        <item h="1" x="32"/>
        <item h="1" x="205"/>
        <item h="1" x="45"/>
        <item h="1" x="139"/>
        <item h="1" x="119"/>
        <item h="1" x="64"/>
        <item h="1" x="129"/>
        <item h="1" x="28"/>
        <item h="1" x="63"/>
        <item h="1" x="91"/>
        <item h="1" x="221"/>
        <item h="1" x="57"/>
        <item h="1" x="181"/>
        <item h="1" x="136"/>
        <item h="1" x="50"/>
        <item h="1" x="59"/>
        <item h="1" x="171"/>
        <item h="1" x="26"/>
        <item h="1" x="103"/>
        <item h="1" x="73"/>
        <item h="1" x="89"/>
        <item h="1" x="97"/>
        <item h="1" x="117"/>
        <item h="1" x="153"/>
        <item h="1" x="174"/>
        <item h="1" x="156"/>
        <item h="1" x="162"/>
        <item h="1" x="115"/>
        <item h="1" x="148"/>
        <item h="1" x="190"/>
        <item h="1" x="158"/>
        <item h="1" x="128"/>
        <item h="1" x="211"/>
        <item h="1" x="216"/>
        <item h="1" x="146"/>
        <item h="1" x="24"/>
        <item h="1" x="77"/>
        <item h="1" x="150"/>
        <item h="1" x="219"/>
        <item h="1" x="5"/>
        <item h="1" x="53"/>
        <item h="1" x="99"/>
        <item h="1" x="220"/>
        <item h="1" x="27"/>
        <item h="1" x="111"/>
        <item h="1" x="101"/>
        <item h="1" x="222"/>
        <item h="1" x="123"/>
        <item h="1" x="143"/>
        <item h="1" x="3"/>
        <item h="1" x="124"/>
        <item h="1" x="90"/>
        <item h="1" x="37"/>
        <item h="1" x="212"/>
        <item h="1" x="23"/>
        <item h="1" x="107"/>
        <item h="1" x="189"/>
        <item h="1" x="215"/>
        <item h="1" x="193"/>
        <item h="1" x="55"/>
        <item h="1" x="122"/>
        <item h="1" x="8"/>
        <item h="1" x="113"/>
        <item h="1" x="7"/>
        <item h="1" x="120"/>
        <item h="1" x="35"/>
        <item h="1" x="9"/>
        <item h="1" x="83"/>
        <item h="1" x="132"/>
        <item h="1" x="135"/>
        <item h="1" x="130"/>
        <item h="1" x="194"/>
        <item h="1" x="82"/>
        <item h="1" x="213"/>
        <item h="1" x="133"/>
        <item h="1" x="201"/>
        <item h="1" x="170"/>
        <item h="1" x="6"/>
        <item h="1" x="106"/>
        <item h="1" x="224"/>
        <item h="1" x="94"/>
        <item h="1" x="178"/>
        <item h="1" x="41"/>
        <item h="1" x="4"/>
        <item h="1" x="54"/>
        <item h="1" x="65"/>
        <item h="1" x="140"/>
        <item h="1" x="157"/>
        <item h="1" x="1"/>
        <item h="1" x="195"/>
        <item h="1" x="16"/>
        <item t="default"/>
      </items>
    </pivotField>
  </pivotFields>
  <rowFields count="1">
    <field x="2"/>
  </rowFields>
  <rowItems count="5">
    <i>
      <x/>
    </i>
    <i>
      <x v="1"/>
    </i>
    <i>
      <x v="2"/>
    </i>
    <i>
      <x v="3"/>
    </i>
    <i t="grand">
      <x/>
    </i>
  </rowItems>
  <colFields count="1">
    <field x="0"/>
  </colFields>
  <colItems count="3">
    <i>
      <x/>
    </i>
    <i>
      <x v="1"/>
    </i>
    <i t="grand">
      <x/>
    </i>
  </colItems>
  <dataFields count="1">
    <dataField name="Count of NAMA" fld="3" subtotal="count" baseField="0" baseItem="0"/>
  </dataFields>
  <chartFormats count="8">
    <chartFormat chart="3" format="0" series="1">
      <pivotArea type="data" outline="0" fieldPosition="0">
        <references count="2">
          <reference field="4294967294" count="1" selected="0">
            <x v="0"/>
          </reference>
          <reference field="0" count="1" selected="0">
            <x v="0"/>
          </reference>
        </references>
      </pivotArea>
    </chartFormat>
    <chartFormat chart="3" format="1" series="1">
      <pivotArea type="data" outline="0" fieldPosition="0">
        <references count="2">
          <reference field="4294967294" count="1" selected="0">
            <x v="0"/>
          </reference>
          <reference field="0" count="1" selected="0">
            <x v="1"/>
          </reference>
        </references>
      </pivotArea>
    </chartFormat>
    <chartFormat chart="7" format="4" series="1">
      <pivotArea type="data" outline="0" fieldPosition="0">
        <references count="2">
          <reference field="4294967294" count="1" selected="0">
            <x v="0"/>
          </reference>
          <reference field="0" count="1" selected="0">
            <x v="0"/>
          </reference>
        </references>
      </pivotArea>
    </chartFormat>
    <chartFormat chart="7" format="5" series="1">
      <pivotArea type="data" outline="0" fieldPosition="0">
        <references count="2">
          <reference field="4294967294" count="1" selected="0">
            <x v="0"/>
          </reference>
          <reference field="0" count="1" selected="0">
            <x v="1"/>
          </reference>
        </references>
      </pivotArea>
    </chartFormat>
    <chartFormat chart="8" format="2" series="1">
      <pivotArea type="data" outline="0" fieldPosition="0">
        <references count="2">
          <reference field="4294967294" count="1" selected="0">
            <x v="0"/>
          </reference>
          <reference field="0" count="1" selected="0">
            <x v="0"/>
          </reference>
        </references>
      </pivotArea>
    </chartFormat>
    <chartFormat chart="8" format="3" series="1">
      <pivotArea type="data" outline="0" fieldPosition="0">
        <references count="2">
          <reference field="4294967294" count="1" selected="0">
            <x v="0"/>
          </reference>
          <reference field="0" count="1" selected="0">
            <x v="1"/>
          </reference>
        </references>
      </pivotArea>
    </chartFormat>
    <chartFormat chart="10" format="4" series="1">
      <pivotArea type="data" outline="0" fieldPosition="0">
        <references count="2">
          <reference field="4294967294" count="1" selected="0">
            <x v="0"/>
          </reference>
          <reference field="0" count="1" selected="0">
            <x v="0"/>
          </reference>
        </references>
      </pivotArea>
    </chartFormat>
    <chartFormat chart="10" format="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4">
  <location ref="E26:I32" firstHeaderRow="1" firstDataRow="2" firstDataCol="1" rowPageCount="1" colPageCount="1"/>
  <pivotFields count="4">
    <pivotField axis="axisPage" showAll="0">
      <items count="3">
        <item x="0"/>
        <item x="1"/>
        <item t="default"/>
      </items>
    </pivotField>
    <pivotField axis="axisCol" showAll="0">
      <items count="19">
        <item x="16"/>
        <item x="4"/>
        <item x="7"/>
        <item x="0"/>
        <item x="1"/>
        <item x="5"/>
        <item x="6"/>
        <item x="8"/>
        <item x="2"/>
        <item x="9"/>
        <item x="11"/>
        <item x="15"/>
        <item x="12"/>
        <item x="17"/>
        <item x="13"/>
        <item x="14"/>
        <item x="10"/>
        <item x="3"/>
        <item t="default"/>
      </items>
    </pivotField>
    <pivotField axis="axisRow" showAll="0">
      <items count="5">
        <item x="0"/>
        <item x="1"/>
        <item x="2"/>
        <item x="3"/>
        <item t="default"/>
      </items>
    </pivotField>
    <pivotField dataField="1" showAll="0">
      <items count="227">
        <item h="1" x="74"/>
        <item x="200"/>
        <item h="1" x="199"/>
        <item h="1" x="204"/>
        <item h="1" x="141"/>
        <item h="1" x="62"/>
        <item h="1" x="79"/>
        <item h="1" x="51"/>
        <item h="1" x="108"/>
        <item h="1" x="191"/>
        <item h="1" x="67"/>
        <item h="1" x="20"/>
        <item h="1" x="172"/>
        <item h="1" x="134"/>
        <item h="1" x="151"/>
        <item h="1" x="46"/>
        <item h="1" x="78"/>
        <item h="1" x="36"/>
        <item h="1" x="196"/>
        <item h="1" x="86"/>
        <item h="1" x="58"/>
        <item h="1" x="105"/>
        <item h="1" x="110"/>
        <item h="1" x="185"/>
        <item h="1" x="164"/>
        <item h="1" x="131"/>
        <item h="1" x="34"/>
        <item h="1" x="13"/>
        <item h="1" x="95"/>
        <item h="1" x="154"/>
        <item h="1" x="183"/>
        <item h="1" x="161"/>
        <item h="1" x="180"/>
        <item h="1" x="223"/>
        <item h="1" x="85"/>
        <item h="1" x="18"/>
        <item h="1" x="33"/>
        <item h="1" x="22"/>
        <item h="1" x="169"/>
        <item h="1" x="15"/>
        <item h="1" x="138"/>
        <item h="1" x="184"/>
        <item h="1" x="40"/>
        <item h="1" x="218"/>
        <item h="1" x="44"/>
        <item h="1" x="166"/>
        <item h="1" x="179"/>
        <item h="1" x="114"/>
        <item h="1" x="49"/>
        <item h="1" x="19"/>
        <item h="1" x="217"/>
        <item h="1" x="10"/>
        <item h="1" x="21"/>
        <item h="1" x="81"/>
        <item h="1" x="160"/>
        <item h="1" x="152"/>
        <item h="1" x="70"/>
        <item h="1" x="210"/>
        <item h="1" x="39"/>
        <item h="1" x="12"/>
        <item h="1" x="72"/>
        <item h="1" x="11"/>
        <item h="1" x="187"/>
        <item h="1" x="98"/>
        <item h="1" x="104"/>
        <item h="1" x="17"/>
        <item h="1" x="92"/>
        <item h="1" x="43"/>
        <item h="1" x="145"/>
        <item h="1" x="60"/>
        <item h="1" x="75"/>
        <item h="1" x="93"/>
        <item h="1" x="186"/>
        <item h="1" x="96"/>
        <item h="1" x="52"/>
        <item h="1" x="30"/>
        <item h="1" x="109"/>
        <item h="1" x="125"/>
        <item h="1" x="47"/>
        <item h="1" x="208"/>
        <item h="1" x="68"/>
        <item h="1" x="42"/>
        <item h="1" x="126"/>
        <item h="1" x="206"/>
        <item h="1" x="66"/>
        <item h="1" x="182"/>
        <item h="1" x="61"/>
        <item h="1" x="102"/>
        <item h="1" x="142"/>
        <item h="1" x="214"/>
        <item h="1" x="25"/>
        <item h="1" x="88"/>
        <item h="1" x="198"/>
        <item h="1" x="159"/>
        <item h="1" x="149"/>
        <item h="1" x="167"/>
        <item h="1" x="87"/>
        <item h="1" x="203"/>
        <item h="1" x="175"/>
        <item h="1" x="165"/>
        <item h="1" x="127"/>
        <item h="1" x="207"/>
        <item h="1" x="121"/>
        <item h="1" x="155"/>
        <item h="1" x="0"/>
        <item h="1" x="71"/>
        <item h="1" x="80"/>
        <item h="1" x="14"/>
        <item h="1" x="2"/>
        <item h="1" x="225"/>
        <item h="1" x="137"/>
        <item h="1" x="29"/>
        <item h="1" x="147"/>
        <item h="1" x="163"/>
        <item h="1" x="84"/>
        <item h="1" x="100"/>
        <item h="1" x="76"/>
        <item h="1" x="118"/>
        <item h="1" x="112"/>
        <item h="1" x="38"/>
        <item h="1" x="202"/>
        <item h="1" x="168"/>
        <item h="1" x="56"/>
        <item h="1" x="177"/>
        <item h="1" x="48"/>
        <item h="1" x="116"/>
        <item h="1" x="69"/>
        <item h="1" x="144"/>
        <item h="1" x="176"/>
        <item h="1" x="197"/>
        <item h="1" x="188"/>
        <item h="1" x="173"/>
        <item h="1" x="192"/>
        <item h="1" x="31"/>
        <item h="1" x="209"/>
        <item h="1" x="32"/>
        <item h="1" x="205"/>
        <item h="1" x="45"/>
        <item h="1" x="139"/>
        <item h="1" x="119"/>
        <item h="1" x="64"/>
        <item h="1" x="129"/>
        <item h="1" x="28"/>
        <item h="1" x="63"/>
        <item h="1" x="91"/>
        <item h="1" x="221"/>
        <item h="1" x="57"/>
        <item h="1" x="181"/>
        <item h="1" x="136"/>
        <item h="1" x="50"/>
        <item h="1" x="59"/>
        <item h="1" x="171"/>
        <item h="1" x="26"/>
        <item h="1" x="103"/>
        <item h="1" x="73"/>
        <item h="1" x="89"/>
        <item h="1" x="97"/>
        <item h="1" x="117"/>
        <item h="1" x="153"/>
        <item h="1" x="174"/>
        <item h="1" x="156"/>
        <item h="1" x="162"/>
        <item h="1" x="115"/>
        <item h="1" x="148"/>
        <item h="1" x="190"/>
        <item h="1" x="158"/>
        <item h="1" x="128"/>
        <item h="1" x="211"/>
        <item h="1" x="216"/>
        <item h="1" x="146"/>
        <item h="1" x="24"/>
        <item h="1" x="77"/>
        <item h="1" x="150"/>
        <item h="1" x="219"/>
        <item h="1" x="5"/>
        <item h="1" x="53"/>
        <item h="1" x="99"/>
        <item h="1" x="220"/>
        <item h="1" x="27"/>
        <item h="1" x="111"/>
        <item h="1" x="101"/>
        <item h="1" x="222"/>
        <item h="1" x="123"/>
        <item h="1" x="143"/>
        <item h="1" x="3"/>
        <item h="1" x="124"/>
        <item h="1" x="90"/>
        <item h="1" x="37"/>
        <item h="1" x="212"/>
        <item h="1" x="23"/>
        <item h="1" x="107"/>
        <item h="1" x="189"/>
        <item h="1" x="215"/>
        <item h="1" x="193"/>
        <item h="1" x="55"/>
        <item h="1" x="122"/>
        <item h="1" x="8"/>
        <item h="1" x="113"/>
        <item h="1" x="7"/>
        <item h="1" x="120"/>
        <item h="1" x="35"/>
        <item h="1" x="9"/>
        <item h="1" x="83"/>
        <item h="1" x="132"/>
        <item h="1" x="135"/>
        <item h="1" x="130"/>
        <item h="1" x="194"/>
        <item h="1" x="82"/>
        <item h="1" x="213"/>
        <item h="1" x="133"/>
        <item h="1" x="201"/>
        <item h="1" x="170"/>
        <item h="1" x="6"/>
        <item h="1" x="106"/>
        <item h="1" x="224"/>
        <item h="1" x="94"/>
        <item h="1" x="178"/>
        <item h="1" x="41"/>
        <item h="1" x="4"/>
        <item h="1" x="54"/>
        <item h="1" x="65"/>
        <item h="1" x="140"/>
        <item h="1" x="157"/>
        <item h="1" x="1"/>
        <item h="1" x="195"/>
        <item h="1" x="16"/>
        <item t="default"/>
      </items>
    </pivotField>
  </pivotFields>
  <rowFields count="1">
    <field x="2"/>
  </rowFields>
  <rowItems count="5">
    <i>
      <x/>
    </i>
    <i>
      <x v="1"/>
    </i>
    <i>
      <x v="2"/>
    </i>
    <i>
      <x v="3"/>
    </i>
    <i t="grand">
      <x/>
    </i>
  </rowItems>
  <colFields count="1">
    <field x="1"/>
  </colFields>
  <colItems count="4">
    <i>
      <x v="9"/>
    </i>
    <i>
      <x v="12"/>
    </i>
    <i>
      <x v="16"/>
    </i>
    <i t="grand">
      <x/>
    </i>
  </colItems>
  <pageFields count="1">
    <pageField fld="0" item="1" hier="-1"/>
  </pageFields>
  <dataFields count="1">
    <dataField name="Count of NAMA" fld="3" subtotal="count" baseField="0" baseItem="0"/>
  </dataFields>
  <chartFormats count="18">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9"/>
          </reference>
        </references>
      </pivotArea>
    </chartFormat>
    <chartFormat chart="2" format="2" series="1">
      <pivotArea type="data" outline="0" fieldPosition="0">
        <references count="2">
          <reference field="4294967294" count="1" selected="0">
            <x v="0"/>
          </reference>
          <reference field="1" count="1" selected="0">
            <x v="10"/>
          </reference>
        </references>
      </pivotArea>
    </chartFormat>
    <chartFormat chart="2" format="3" series="1">
      <pivotArea type="data" outline="0" fieldPosition="0">
        <references count="2">
          <reference field="4294967294" count="1" selected="0">
            <x v="0"/>
          </reference>
          <reference field="1" count="1" selected="0">
            <x v="11"/>
          </reference>
        </references>
      </pivotArea>
    </chartFormat>
    <chartFormat chart="2" format="4" series="1">
      <pivotArea type="data" outline="0" fieldPosition="0">
        <references count="2">
          <reference field="4294967294" count="1" selected="0">
            <x v="0"/>
          </reference>
          <reference field="1" count="1" selected="0">
            <x v="12"/>
          </reference>
        </references>
      </pivotArea>
    </chartFormat>
    <chartFormat chart="2" format="5" series="1">
      <pivotArea type="data" outline="0" fieldPosition="0">
        <references count="2">
          <reference field="4294967294" count="1" selected="0">
            <x v="0"/>
          </reference>
          <reference field="1" count="1" selected="0">
            <x v="13"/>
          </reference>
        </references>
      </pivotArea>
    </chartFormat>
    <chartFormat chart="2" format="6" series="1">
      <pivotArea type="data" outline="0" fieldPosition="0">
        <references count="2">
          <reference field="4294967294" count="1" selected="0">
            <x v="0"/>
          </reference>
          <reference field="1" count="1" selected="0">
            <x v="14"/>
          </reference>
        </references>
      </pivotArea>
    </chartFormat>
    <chartFormat chart="2" format="7" series="1">
      <pivotArea type="data" outline="0" fieldPosition="0">
        <references count="2">
          <reference field="4294967294" count="1" selected="0">
            <x v="0"/>
          </reference>
          <reference field="1" count="1" selected="0">
            <x v="15"/>
          </reference>
        </references>
      </pivotArea>
    </chartFormat>
    <chartFormat chart="2" format="8" series="1">
      <pivotArea type="data" outline="0" fieldPosition="0">
        <references count="2">
          <reference field="4294967294" count="1" selected="0">
            <x v="0"/>
          </reference>
          <reference field="1" count="1" selected="0">
            <x v="16"/>
          </reference>
        </references>
      </pivotArea>
    </chartFormat>
    <chartFormat chart="6" format="18" series="1">
      <pivotArea type="data" outline="0" fieldPosition="0">
        <references count="2">
          <reference field="4294967294" count="1" selected="0">
            <x v="0"/>
          </reference>
          <reference field="1" count="1" selected="0">
            <x v="0"/>
          </reference>
        </references>
      </pivotArea>
    </chartFormat>
    <chartFormat chart="6" format="19" series="1">
      <pivotArea type="data" outline="0" fieldPosition="0">
        <references count="2">
          <reference field="4294967294" count="1" selected="0">
            <x v="0"/>
          </reference>
          <reference field="1" count="1" selected="0">
            <x v="9"/>
          </reference>
        </references>
      </pivotArea>
    </chartFormat>
    <chartFormat chart="6" format="20" series="1">
      <pivotArea type="data" outline="0" fieldPosition="0">
        <references count="2">
          <reference field="4294967294" count="1" selected="0">
            <x v="0"/>
          </reference>
          <reference field="1" count="1" selected="0">
            <x v="10"/>
          </reference>
        </references>
      </pivotArea>
    </chartFormat>
    <chartFormat chart="6" format="21" series="1">
      <pivotArea type="data" outline="0" fieldPosition="0">
        <references count="2">
          <reference field="4294967294" count="1" selected="0">
            <x v="0"/>
          </reference>
          <reference field="1" count="1" selected="0">
            <x v="11"/>
          </reference>
        </references>
      </pivotArea>
    </chartFormat>
    <chartFormat chart="6" format="22" series="1">
      <pivotArea type="data" outline="0" fieldPosition="0">
        <references count="2">
          <reference field="4294967294" count="1" selected="0">
            <x v="0"/>
          </reference>
          <reference field="1" count="1" selected="0">
            <x v="12"/>
          </reference>
        </references>
      </pivotArea>
    </chartFormat>
    <chartFormat chart="6" format="23" series="1">
      <pivotArea type="data" outline="0" fieldPosition="0">
        <references count="2">
          <reference field="4294967294" count="1" selected="0">
            <x v="0"/>
          </reference>
          <reference field="1" count="1" selected="0">
            <x v="13"/>
          </reference>
        </references>
      </pivotArea>
    </chartFormat>
    <chartFormat chart="6" format="24" series="1">
      <pivotArea type="data" outline="0" fieldPosition="0">
        <references count="2">
          <reference field="4294967294" count="1" selected="0">
            <x v="0"/>
          </reference>
          <reference field="1" count="1" selected="0">
            <x v="14"/>
          </reference>
        </references>
      </pivotArea>
    </chartFormat>
    <chartFormat chart="6" format="25" series="1">
      <pivotArea type="data" outline="0" fieldPosition="0">
        <references count="2">
          <reference field="4294967294" count="1" selected="0">
            <x v="0"/>
          </reference>
          <reference field="1" count="1" selected="0">
            <x v="15"/>
          </reference>
        </references>
      </pivotArea>
    </chartFormat>
    <chartFormat chart="6" format="26" series="1">
      <pivotArea type="data" outline="0" fieldPosition="0">
        <references count="2">
          <reference field="4294967294" count="1" selected="0">
            <x v="0"/>
          </reference>
          <reference field="1"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4">
  <location ref="E3:H9" firstHeaderRow="1" firstDataRow="2" firstDataCol="1" rowPageCount="1" colPageCount="1"/>
  <pivotFields count="4">
    <pivotField axis="axisPage" showAll="0">
      <items count="3">
        <item x="0"/>
        <item x="1"/>
        <item t="default"/>
      </items>
    </pivotField>
    <pivotField axis="axisCol" showAll="0">
      <items count="19">
        <item x="16"/>
        <item x="4"/>
        <item x="7"/>
        <item x="0"/>
        <item x="1"/>
        <item x="5"/>
        <item x="6"/>
        <item x="8"/>
        <item x="2"/>
        <item x="9"/>
        <item x="11"/>
        <item x="15"/>
        <item x="12"/>
        <item x="17"/>
        <item x="13"/>
        <item x="14"/>
        <item x="10"/>
        <item x="3"/>
        <item t="default"/>
      </items>
    </pivotField>
    <pivotField axis="axisRow" showAll="0">
      <items count="5">
        <item x="0"/>
        <item x="1"/>
        <item x="2"/>
        <item x="3"/>
        <item t="default"/>
      </items>
    </pivotField>
    <pivotField dataField="1" showAll="0">
      <items count="227">
        <item h="1" x="74"/>
        <item x="200"/>
        <item h="1" x="199"/>
        <item h="1" x="204"/>
        <item h="1" x="141"/>
        <item h="1" x="62"/>
        <item h="1" x="79"/>
        <item h="1" x="51"/>
        <item h="1" x="108"/>
        <item h="1" x="191"/>
        <item h="1" x="67"/>
        <item h="1" x="20"/>
        <item h="1" x="172"/>
        <item h="1" x="134"/>
        <item h="1" x="151"/>
        <item h="1" x="46"/>
        <item h="1" x="78"/>
        <item h="1" x="36"/>
        <item h="1" x="196"/>
        <item h="1" x="86"/>
        <item h="1" x="58"/>
        <item h="1" x="105"/>
        <item h="1" x="110"/>
        <item h="1" x="185"/>
        <item h="1" x="164"/>
        <item h="1" x="131"/>
        <item h="1" x="34"/>
        <item h="1" x="13"/>
        <item h="1" x="95"/>
        <item h="1" x="154"/>
        <item h="1" x="183"/>
        <item h="1" x="161"/>
        <item h="1" x="180"/>
        <item h="1" x="223"/>
        <item h="1" x="85"/>
        <item h="1" x="18"/>
        <item h="1" x="33"/>
        <item h="1" x="22"/>
        <item h="1" x="169"/>
        <item h="1" x="15"/>
        <item h="1" x="138"/>
        <item h="1" x="184"/>
        <item h="1" x="40"/>
        <item h="1" x="218"/>
        <item h="1" x="44"/>
        <item h="1" x="166"/>
        <item h="1" x="179"/>
        <item h="1" x="114"/>
        <item h="1" x="49"/>
        <item h="1" x="19"/>
        <item h="1" x="217"/>
        <item h="1" x="10"/>
        <item h="1" x="21"/>
        <item h="1" x="81"/>
        <item h="1" x="160"/>
        <item h="1" x="152"/>
        <item h="1" x="70"/>
        <item h="1" x="210"/>
        <item h="1" x="39"/>
        <item h="1" x="12"/>
        <item h="1" x="72"/>
        <item h="1" x="11"/>
        <item h="1" x="187"/>
        <item h="1" x="98"/>
        <item h="1" x="104"/>
        <item h="1" x="17"/>
        <item h="1" x="92"/>
        <item h="1" x="43"/>
        <item h="1" x="145"/>
        <item h="1" x="60"/>
        <item h="1" x="75"/>
        <item h="1" x="93"/>
        <item h="1" x="186"/>
        <item h="1" x="96"/>
        <item h="1" x="52"/>
        <item h="1" x="30"/>
        <item h="1" x="109"/>
        <item h="1" x="125"/>
        <item h="1" x="47"/>
        <item h="1" x="208"/>
        <item h="1" x="68"/>
        <item h="1" x="42"/>
        <item h="1" x="126"/>
        <item h="1" x="206"/>
        <item h="1" x="66"/>
        <item h="1" x="182"/>
        <item h="1" x="61"/>
        <item h="1" x="102"/>
        <item h="1" x="142"/>
        <item h="1" x="214"/>
        <item h="1" x="25"/>
        <item h="1" x="88"/>
        <item h="1" x="198"/>
        <item h="1" x="159"/>
        <item h="1" x="149"/>
        <item h="1" x="167"/>
        <item h="1" x="87"/>
        <item h="1" x="203"/>
        <item h="1" x="175"/>
        <item h="1" x="165"/>
        <item h="1" x="127"/>
        <item h="1" x="207"/>
        <item h="1" x="121"/>
        <item h="1" x="155"/>
        <item h="1" x="0"/>
        <item h="1" x="71"/>
        <item h="1" x="80"/>
        <item h="1" x="14"/>
        <item h="1" x="2"/>
        <item h="1" x="225"/>
        <item h="1" x="137"/>
        <item h="1" x="29"/>
        <item h="1" x="147"/>
        <item h="1" x="163"/>
        <item h="1" x="84"/>
        <item h="1" x="100"/>
        <item h="1" x="76"/>
        <item h="1" x="118"/>
        <item h="1" x="112"/>
        <item h="1" x="38"/>
        <item h="1" x="202"/>
        <item h="1" x="168"/>
        <item h="1" x="56"/>
        <item h="1" x="177"/>
        <item h="1" x="48"/>
        <item h="1" x="116"/>
        <item h="1" x="69"/>
        <item h="1" x="144"/>
        <item h="1" x="176"/>
        <item h="1" x="197"/>
        <item h="1" x="188"/>
        <item h="1" x="173"/>
        <item h="1" x="192"/>
        <item h="1" x="31"/>
        <item h="1" x="209"/>
        <item h="1" x="32"/>
        <item h="1" x="205"/>
        <item h="1" x="45"/>
        <item h="1" x="139"/>
        <item h="1" x="119"/>
        <item h="1" x="64"/>
        <item h="1" x="129"/>
        <item h="1" x="28"/>
        <item h="1" x="63"/>
        <item h="1" x="91"/>
        <item h="1" x="221"/>
        <item h="1" x="57"/>
        <item h="1" x="181"/>
        <item h="1" x="136"/>
        <item h="1" x="50"/>
        <item h="1" x="59"/>
        <item h="1" x="171"/>
        <item h="1" x="26"/>
        <item h="1" x="103"/>
        <item h="1" x="73"/>
        <item h="1" x="89"/>
        <item h="1" x="97"/>
        <item h="1" x="117"/>
        <item h="1" x="153"/>
        <item h="1" x="174"/>
        <item h="1" x="156"/>
        <item h="1" x="162"/>
        <item h="1" x="115"/>
        <item h="1" x="148"/>
        <item h="1" x="190"/>
        <item h="1" x="158"/>
        <item h="1" x="128"/>
        <item h="1" x="211"/>
        <item h="1" x="216"/>
        <item h="1" x="146"/>
        <item h="1" x="24"/>
        <item h="1" x="77"/>
        <item h="1" x="150"/>
        <item h="1" x="219"/>
        <item h="1" x="5"/>
        <item h="1" x="53"/>
        <item h="1" x="99"/>
        <item h="1" x="220"/>
        <item h="1" x="27"/>
        <item h="1" x="111"/>
        <item h="1" x="101"/>
        <item h="1" x="222"/>
        <item h="1" x="123"/>
        <item h="1" x="143"/>
        <item h="1" x="3"/>
        <item h="1" x="124"/>
        <item h="1" x="90"/>
        <item h="1" x="37"/>
        <item h="1" x="212"/>
        <item h="1" x="23"/>
        <item h="1" x="107"/>
        <item h="1" x="189"/>
        <item h="1" x="215"/>
        <item h="1" x="193"/>
        <item h="1" x="55"/>
        <item h="1" x="122"/>
        <item h="1" x="8"/>
        <item h="1" x="113"/>
        <item h="1" x="7"/>
        <item h="1" x="120"/>
        <item h="1" x="35"/>
        <item h="1" x="9"/>
        <item h="1" x="83"/>
        <item h="1" x="132"/>
        <item h="1" x="135"/>
        <item h="1" x="130"/>
        <item h="1" x="194"/>
        <item h="1" x="82"/>
        <item h="1" x="213"/>
        <item h="1" x="133"/>
        <item h="1" x="201"/>
        <item h="1" x="170"/>
        <item h="1" x="6"/>
        <item h="1" x="106"/>
        <item h="1" x="224"/>
        <item h="1" x="94"/>
        <item h="1" x="178"/>
        <item h="1" x="41"/>
        <item h="1" x="4"/>
        <item h="1" x="54"/>
        <item h="1" x="65"/>
        <item h="1" x="140"/>
        <item h="1" x="157"/>
        <item h="1" x="1"/>
        <item h="1" x="195"/>
        <item h="1" x="16"/>
        <item t="default"/>
      </items>
    </pivotField>
  </pivotFields>
  <rowFields count="1">
    <field x="2"/>
  </rowFields>
  <rowItems count="5">
    <i>
      <x/>
    </i>
    <i>
      <x v="1"/>
    </i>
    <i>
      <x v="2"/>
    </i>
    <i>
      <x v="3"/>
    </i>
    <i t="grand">
      <x/>
    </i>
  </rowItems>
  <colFields count="1">
    <field x="1"/>
  </colFields>
  <colItems count="3">
    <i>
      <x v="3"/>
    </i>
    <i>
      <x v="8"/>
    </i>
    <i t="grand">
      <x/>
    </i>
  </colItems>
  <pageFields count="1">
    <pageField fld="0" item="0" hier="-1"/>
  </pageFields>
  <dataFields count="1">
    <dataField name="Count of NAMA" fld="3" subtotal="count" baseField="0" baseItem="0"/>
  </dataFields>
  <chartFormats count="18">
    <chartFormat chart="5" format="0" series="1">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2">
          <reference field="4294967294" count="1" selected="0">
            <x v="0"/>
          </reference>
          <reference field="1" count="1" selected="0">
            <x v="2"/>
          </reference>
        </references>
      </pivotArea>
    </chartFormat>
    <chartFormat chart="5" format="2" series="1">
      <pivotArea type="data" outline="0" fieldPosition="0">
        <references count="2">
          <reference field="4294967294" count="1" selected="0">
            <x v="0"/>
          </reference>
          <reference field="1" count="1" selected="0">
            <x v="3"/>
          </reference>
        </references>
      </pivotArea>
    </chartFormat>
    <chartFormat chart="5" format="3" series="1">
      <pivotArea type="data" outline="0" fieldPosition="0">
        <references count="2">
          <reference field="4294967294" count="1" selected="0">
            <x v="0"/>
          </reference>
          <reference field="1" count="1" selected="0">
            <x v="4"/>
          </reference>
        </references>
      </pivotArea>
    </chartFormat>
    <chartFormat chart="5" format="4" series="1">
      <pivotArea type="data" outline="0" fieldPosition="0">
        <references count="2">
          <reference field="4294967294" count="1" selected="0">
            <x v="0"/>
          </reference>
          <reference field="1" count="1" selected="0">
            <x v="5"/>
          </reference>
        </references>
      </pivotArea>
    </chartFormat>
    <chartFormat chart="5" format="5" series="1">
      <pivotArea type="data" outline="0" fieldPosition="0">
        <references count="2">
          <reference field="4294967294" count="1" selected="0">
            <x v="0"/>
          </reference>
          <reference field="1" count="1" selected="0">
            <x v="6"/>
          </reference>
        </references>
      </pivotArea>
    </chartFormat>
    <chartFormat chart="5" format="6" series="1">
      <pivotArea type="data" outline="0" fieldPosition="0">
        <references count="2">
          <reference field="4294967294" count="1" selected="0">
            <x v="0"/>
          </reference>
          <reference field="1" count="1" selected="0">
            <x v="7"/>
          </reference>
        </references>
      </pivotArea>
    </chartFormat>
    <chartFormat chart="5" format="7" series="1">
      <pivotArea type="data" outline="0" fieldPosition="0">
        <references count="2">
          <reference field="4294967294" count="1" selected="0">
            <x v="0"/>
          </reference>
          <reference field="1" count="1" selected="0">
            <x v="8"/>
          </reference>
        </references>
      </pivotArea>
    </chartFormat>
    <chartFormat chart="5" format="8" series="1">
      <pivotArea type="data" outline="0" fieldPosition="0">
        <references count="2">
          <reference field="4294967294" count="1" selected="0">
            <x v="0"/>
          </reference>
          <reference field="1" count="1" selected="0">
            <x v="17"/>
          </reference>
        </references>
      </pivotArea>
    </chartFormat>
    <chartFormat chart="9" format="18" series="1">
      <pivotArea type="data" outline="0" fieldPosition="0">
        <references count="2">
          <reference field="4294967294" count="1" selected="0">
            <x v="0"/>
          </reference>
          <reference field="1" count="1" selected="0">
            <x v="1"/>
          </reference>
        </references>
      </pivotArea>
    </chartFormat>
    <chartFormat chart="9" format="19" series="1">
      <pivotArea type="data" outline="0" fieldPosition="0">
        <references count="2">
          <reference field="4294967294" count="1" selected="0">
            <x v="0"/>
          </reference>
          <reference field="1" count="1" selected="0">
            <x v="2"/>
          </reference>
        </references>
      </pivotArea>
    </chartFormat>
    <chartFormat chart="9" format="20" series="1">
      <pivotArea type="data" outline="0" fieldPosition="0">
        <references count="2">
          <reference field="4294967294" count="1" selected="0">
            <x v="0"/>
          </reference>
          <reference field="1" count="1" selected="0">
            <x v="3"/>
          </reference>
        </references>
      </pivotArea>
    </chartFormat>
    <chartFormat chart="9" format="21" series="1">
      <pivotArea type="data" outline="0" fieldPosition="0">
        <references count="2">
          <reference field="4294967294" count="1" selected="0">
            <x v="0"/>
          </reference>
          <reference field="1" count="1" selected="0">
            <x v="4"/>
          </reference>
        </references>
      </pivotArea>
    </chartFormat>
    <chartFormat chart="9" format="22" series="1">
      <pivotArea type="data" outline="0" fieldPosition="0">
        <references count="2">
          <reference field="4294967294" count="1" selected="0">
            <x v="0"/>
          </reference>
          <reference field="1" count="1" selected="0">
            <x v="5"/>
          </reference>
        </references>
      </pivotArea>
    </chartFormat>
    <chartFormat chart="9" format="23" series="1">
      <pivotArea type="data" outline="0" fieldPosition="0">
        <references count="2">
          <reference field="4294967294" count="1" selected="0">
            <x v="0"/>
          </reference>
          <reference field="1" count="1" selected="0">
            <x v="6"/>
          </reference>
        </references>
      </pivotArea>
    </chartFormat>
    <chartFormat chart="9" format="24" series="1">
      <pivotArea type="data" outline="0" fieldPosition="0">
        <references count="2">
          <reference field="4294967294" count="1" selected="0">
            <x v="0"/>
          </reference>
          <reference field="1" count="1" selected="0">
            <x v="7"/>
          </reference>
        </references>
      </pivotArea>
    </chartFormat>
    <chartFormat chart="9" format="25" series="1">
      <pivotArea type="data" outline="0" fieldPosition="0">
        <references count="2">
          <reference field="4294967294" count="1" selected="0">
            <x v="0"/>
          </reference>
          <reference field="1" count="1" selected="0">
            <x v="8"/>
          </reference>
        </references>
      </pivotArea>
    </chartFormat>
    <chartFormat chart="9" format="26" series="1">
      <pivotArea type="data" outline="0" fieldPosition="0">
        <references count="2">
          <reference field="4294967294" count="1" selected="0">
            <x v="0"/>
          </reference>
          <reference field="1"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AHUN" sourceName="TAHUN">
  <pivotTables>
    <pivotTable tabId="19" name="Ins"/>
    <pivotTable tabId="19" name="Jum"/>
    <pivotTable tabId="19" name="Pend"/>
    <pivotTable tabId="19" name="Ske"/>
    <pivotTable tabId="19" name="Sta"/>
  </pivotTables>
  <data>
    <tabular pivotCacheId="1">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AHUN1" sourceName="TAHUN">
  <pivotTables>
    <pivotTable tabId="20" name="PivotTable5"/>
    <pivotTable tabId="20" name="PivotTable6"/>
    <pivotTable tabId="20" name="PivotTable7"/>
    <pivotTable tabId="20" name="PivotTable8"/>
    <pivotTable tabId="20" name="PivotTable1"/>
    <pivotTable tabId="20" name="PivotTable2"/>
  </pivotTables>
  <data>
    <tabular pivotCacheId="1">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TN___LLDIKTI" sourceName="PTN / LLDIKTI">
  <pivotTables>
    <pivotTable tabId="20" name="PivotTable5"/>
    <pivotTable tabId="20" name="PivotTable6"/>
    <pivotTable tabId="20" name="PivotTable7"/>
    <pivotTable tabId="20" name="PivotTable8"/>
  </pivotTables>
  <data>
    <tabular pivotCacheId="1">
      <items count="15">
        <i x="2"/>
        <i x="9" s="1"/>
        <i x="3"/>
        <i x="0"/>
        <i x="8"/>
        <i x="13"/>
        <i x="7"/>
        <i x="1"/>
        <i x="11"/>
        <i x="12"/>
        <i x="4"/>
        <i x="6"/>
        <i x="14"/>
        <i x="10"/>
        <i x="5"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TN___LLDIKTI1" sourceName="PTN / LLDIKTI">
  <pivotTables>
    <pivotTable tabId="19" name="Ins"/>
    <pivotTable tabId="19" name="Ske"/>
    <pivotTable tabId="19" name="Sta"/>
    <pivotTable tabId="19" name="Pend"/>
    <pivotTable tabId="19" name="Jum"/>
  </pivotTables>
  <data>
    <tabular pivotCacheId="1">
      <items count="15">
        <i x="2" s="1"/>
        <i x="9"/>
        <i x="3"/>
        <i x="0"/>
        <i x="8"/>
        <i x="13"/>
        <i x="7"/>
        <i x="1"/>
        <i x="11"/>
        <i x="12"/>
        <i x="4"/>
        <i x="6"/>
        <i x="14"/>
        <i x="5"/>
        <i x="10"/>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NAMA" sourceName="NAMA">
  <pivotTables>
    <pivotTable tabId="21" name="PivotTable1"/>
    <pivotTable tabId="21" name="PivotTable2"/>
    <pivotTable tabId="21" name="PivotTable3"/>
  </pivotTables>
  <data>
    <tabular pivotCacheId="2">
      <items count="226">
        <i x="74"/>
        <i x="200" s="1"/>
        <i x="199"/>
        <i x="204"/>
        <i x="141"/>
        <i x="62"/>
        <i x="79"/>
        <i x="51"/>
        <i x="108"/>
        <i x="191"/>
        <i x="67"/>
        <i x="20"/>
        <i x="172"/>
        <i x="134"/>
        <i x="151"/>
        <i x="46"/>
        <i x="78"/>
        <i x="36"/>
        <i x="196"/>
        <i x="86"/>
        <i x="58"/>
        <i x="105"/>
        <i x="110"/>
        <i x="185"/>
        <i x="164"/>
        <i x="131"/>
        <i x="34"/>
        <i x="13"/>
        <i x="95"/>
        <i x="154"/>
        <i x="183"/>
        <i x="161"/>
        <i x="180"/>
        <i x="223"/>
        <i x="85"/>
        <i x="18"/>
        <i x="33"/>
        <i x="22"/>
        <i x="169"/>
        <i x="15"/>
        <i x="138"/>
        <i x="184"/>
        <i x="40"/>
        <i x="218"/>
        <i x="44"/>
        <i x="166"/>
        <i x="179"/>
        <i x="114"/>
        <i x="49"/>
        <i x="19"/>
        <i x="217"/>
        <i x="10"/>
        <i x="21"/>
        <i x="81"/>
        <i x="160"/>
        <i x="152"/>
        <i x="70"/>
        <i x="210"/>
        <i x="39"/>
        <i x="12"/>
        <i x="72"/>
        <i x="11"/>
        <i x="187"/>
        <i x="98"/>
        <i x="104"/>
        <i x="17"/>
        <i x="92"/>
        <i x="43"/>
        <i x="145"/>
        <i x="60"/>
        <i x="75"/>
        <i x="93"/>
        <i x="186"/>
        <i x="96"/>
        <i x="52"/>
        <i x="30"/>
        <i x="109"/>
        <i x="125"/>
        <i x="47"/>
        <i x="208"/>
        <i x="68"/>
        <i x="42"/>
        <i x="126"/>
        <i x="206"/>
        <i x="66"/>
        <i x="182"/>
        <i x="61"/>
        <i x="102"/>
        <i x="142"/>
        <i x="214"/>
        <i x="25"/>
        <i x="88"/>
        <i x="198"/>
        <i x="159"/>
        <i x="149"/>
        <i x="167"/>
        <i x="87"/>
        <i x="203"/>
        <i x="175"/>
        <i x="165"/>
        <i x="127"/>
        <i x="207"/>
        <i x="121"/>
        <i x="155"/>
        <i x="0"/>
        <i x="71"/>
        <i x="80"/>
        <i x="14"/>
        <i x="2"/>
        <i x="225"/>
        <i x="137"/>
        <i x="29"/>
        <i x="147"/>
        <i x="163"/>
        <i x="84"/>
        <i x="100"/>
        <i x="76"/>
        <i x="118"/>
        <i x="112"/>
        <i x="38"/>
        <i x="202"/>
        <i x="168"/>
        <i x="56"/>
        <i x="177"/>
        <i x="48"/>
        <i x="116"/>
        <i x="69"/>
        <i x="144"/>
        <i x="176"/>
        <i x="197"/>
        <i x="188"/>
        <i x="173"/>
        <i x="192"/>
        <i x="31"/>
        <i x="209"/>
        <i x="32"/>
        <i x="205"/>
        <i x="45"/>
        <i x="139"/>
        <i x="119"/>
        <i x="64"/>
        <i x="129"/>
        <i x="28"/>
        <i x="63"/>
        <i x="91"/>
        <i x="221"/>
        <i x="57"/>
        <i x="181"/>
        <i x="136"/>
        <i x="50"/>
        <i x="59"/>
        <i x="171"/>
        <i x="26"/>
        <i x="103"/>
        <i x="73"/>
        <i x="89"/>
        <i x="97"/>
        <i x="117"/>
        <i x="153"/>
        <i x="174"/>
        <i x="156"/>
        <i x="162"/>
        <i x="115"/>
        <i x="148"/>
        <i x="190"/>
        <i x="158"/>
        <i x="128"/>
        <i x="211"/>
        <i x="216"/>
        <i x="146"/>
        <i x="24"/>
        <i x="77"/>
        <i x="150"/>
        <i x="219"/>
        <i x="5"/>
        <i x="53"/>
        <i x="99"/>
        <i x="220"/>
        <i x="27"/>
        <i x="111"/>
        <i x="101"/>
        <i x="222"/>
        <i x="123"/>
        <i x="143"/>
        <i x="3"/>
        <i x="124"/>
        <i x="90"/>
        <i x="37"/>
        <i x="212"/>
        <i x="23"/>
        <i x="107"/>
        <i x="189"/>
        <i x="215"/>
        <i x="193"/>
        <i x="55"/>
        <i x="122"/>
        <i x="8"/>
        <i x="113"/>
        <i x="7"/>
        <i x="120"/>
        <i x="35"/>
        <i x="9"/>
        <i x="83"/>
        <i x="132"/>
        <i x="135"/>
        <i x="130"/>
        <i x="194"/>
        <i x="82"/>
        <i x="213"/>
        <i x="133"/>
        <i x="201"/>
        <i x="170"/>
        <i x="6"/>
        <i x="106"/>
        <i x="224"/>
        <i x="94"/>
        <i x="178"/>
        <i x="41"/>
        <i x="4"/>
        <i x="54"/>
        <i x="65"/>
        <i x="140"/>
        <i x="157"/>
        <i x="1"/>
        <i x="195"/>
        <i x="16"/>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AHUN2" sourceName="TAHUN">
  <pivotTables>
    <pivotTable tabId="19" name="PivotTable3"/>
    <pivotTable tabId="19" name="PivotTable2"/>
    <pivotTable tabId="19" name="PivotTable6"/>
  </pivotTables>
  <data>
    <tabular pivotCacheId="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AMA" cache="Slicer_NAMA" caption="NAMA"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TAHUN" cache="Slicer_TAHUN2" caption="TAHUN" columnCount="4" style="Slicer Style 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TAHUN 2" cache="Slicer_TAHUN" caption="TAHUN" columnCount="4" style="Slicer Style 1" rowHeight="241300"/>
  <slicer name="PTN / LLDIKTI 1" cache="Slicer_PTN___LLDIKTI1" caption="PTN / LLDIKTI" style="Slicer Style 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TAHUN 1" cache="Slicer_TAHUN1" caption="TAHUN" columnCount="4" style="Slicer Style 1"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AHUN 3" cache="Slicer_TAHUN1" caption="TAHUN" columnCount="4" style="Slicer Style 1" rowHeight="241300"/>
  <slicer name="PTN / LLDIKTI" cache="Slicer_PTN___LLDIKTI" caption="PTN / LLDIKTI" columnCount="5"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image" Target="../media/image3.jpeg"/></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image" Target="../media/image3.jpeg"/></Relationships>
</file>

<file path=xl/worksheets/_rels/sheet6.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4.xml"/></Relationships>
</file>

<file path=xl/worksheets/_rels/sheet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22.xml"/><Relationship Id="rId3" Type="http://schemas.openxmlformats.org/officeDocument/2006/relationships/pivotTable" Target="../pivotTables/pivotTable17.xml"/><Relationship Id="rId7" Type="http://schemas.openxmlformats.org/officeDocument/2006/relationships/pivotTable" Target="../pivotTables/pivotTable21.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5" Type="http://schemas.openxmlformats.org/officeDocument/2006/relationships/pivotTable" Target="../pivotTables/pivotTable19.xml"/><Relationship Id="rId4" Type="http://schemas.openxmlformats.org/officeDocument/2006/relationships/pivotTable" Target="../pivotTables/pivotTable18.xm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me"/>
  <dimension ref="A1:V31"/>
  <sheetViews>
    <sheetView showGridLines="0" showRowColHeaders="0" topLeftCell="B1" zoomScaleNormal="100" workbookViewId="0">
      <selection activeCell="B1" sqref="B1"/>
    </sheetView>
  </sheetViews>
  <sheetFormatPr defaultColWidth="0" defaultRowHeight="15" zeroHeight="1" x14ac:dyDescent="0.25"/>
  <cols>
    <col min="1" max="1" width="0" hidden="1" customWidth="1"/>
    <col min="2" max="2" width="5.7109375" customWidth="1"/>
    <col min="3"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10"/>
      <c r="S1" s="10"/>
      <c r="T1" s="10"/>
      <c r="U1" s="10"/>
      <c r="V1" s="10"/>
    </row>
    <row r="2" spans="2:22" x14ac:dyDescent="0.25">
      <c r="B2" s="10"/>
      <c r="C2" s="73"/>
      <c r="D2" s="74"/>
      <c r="E2" s="74"/>
      <c r="F2" s="74"/>
      <c r="G2" s="74"/>
      <c r="H2" s="74"/>
      <c r="I2" s="74"/>
      <c r="J2" s="69" t="s">
        <v>648</v>
      </c>
      <c r="K2" s="69"/>
      <c r="L2" s="69" t="s">
        <v>647</v>
      </c>
      <c r="M2" s="69"/>
      <c r="N2" s="69" t="s">
        <v>641</v>
      </c>
      <c r="O2" s="69"/>
      <c r="P2" s="69" t="s">
        <v>642</v>
      </c>
      <c r="Q2" s="69"/>
      <c r="R2" s="69" t="s">
        <v>643</v>
      </c>
      <c r="S2" s="69"/>
      <c r="T2" s="69" t="s">
        <v>644</v>
      </c>
      <c r="U2" s="70"/>
      <c r="V2" s="10"/>
    </row>
    <row r="3" spans="2:22" x14ac:dyDescent="0.25">
      <c r="B3" s="10"/>
      <c r="C3" s="75"/>
      <c r="D3" s="76"/>
      <c r="E3" s="76"/>
      <c r="F3" s="76"/>
      <c r="G3" s="76"/>
      <c r="H3" s="76"/>
      <c r="I3" s="76"/>
      <c r="J3" s="71"/>
      <c r="K3" s="71"/>
      <c r="L3" s="71"/>
      <c r="M3" s="71"/>
      <c r="N3" s="71"/>
      <c r="O3" s="71"/>
      <c r="P3" s="71"/>
      <c r="Q3" s="71"/>
      <c r="R3" s="71"/>
      <c r="S3" s="71"/>
      <c r="T3" s="71"/>
      <c r="U3" s="72"/>
      <c r="V3" s="10"/>
    </row>
    <row r="4" spans="2:22" x14ac:dyDescent="0.25">
      <c r="B4" s="10"/>
      <c r="C4" s="75"/>
      <c r="D4" s="76"/>
      <c r="E4" s="76"/>
      <c r="F4" s="76"/>
      <c r="G4" s="76"/>
      <c r="H4" s="76"/>
      <c r="I4" s="76"/>
      <c r="J4" s="71"/>
      <c r="K4" s="71"/>
      <c r="L4" s="71"/>
      <c r="M4" s="71"/>
      <c r="N4" s="71"/>
      <c r="O4" s="71"/>
      <c r="P4" s="71"/>
      <c r="Q4" s="71"/>
      <c r="R4" s="71"/>
      <c r="S4" s="71"/>
      <c r="T4" s="71"/>
      <c r="U4" s="72"/>
      <c r="V4" s="10"/>
    </row>
    <row r="5" spans="2:22" x14ac:dyDescent="0.25">
      <c r="B5" s="10"/>
      <c r="C5" s="75"/>
      <c r="D5" s="76"/>
      <c r="E5" s="76"/>
      <c r="F5" s="76"/>
      <c r="G5" s="76"/>
      <c r="H5" s="76"/>
      <c r="I5" s="76"/>
      <c r="J5" s="71"/>
      <c r="K5" s="71"/>
      <c r="L5" s="71"/>
      <c r="M5" s="71"/>
      <c r="N5" s="71"/>
      <c r="O5" s="71"/>
      <c r="P5" s="71"/>
      <c r="Q5" s="71"/>
      <c r="R5" s="71"/>
      <c r="S5" s="71"/>
      <c r="T5" s="71"/>
      <c r="U5" s="72"/>
      <c r="V5" s="10"/>
    </row>
    <row r="6" spans="2:22" x14ac:dyDescent="0.25">
      <c r="B6" s="10"/>
      <c r="C6" s="75"/>
      <c r="D6" s="76"/>
      <c r="E6" s="76"/>
      <c r="F6" s="76"/>
      <c r="G6" s="76"/>
      <c r="H6" s="76"/>
      <c r="I6" s="76"/>
      <c r="J6" s="71"/>
      <c r="K6" s="71"/>
      <c r="L6" s="71"/>
      <c r="M6" s="71"/>
      <c r="N6" s="71"/>
      <c r="O6" s="71"/>
      <c r="P6" s="71"/>
      <c r="Q6" s="71"/>
      <c r="R6" s="71"/>
      <c r="S6" s="71"/>
      <c r="T6" s="71"/>
      <c r="U6" s="72"/>
      <c r="V6" s="10"/>
    </row>
    <row r="7" spans="2:22" x14ac:dyDescent="0.25">
      <c r="B7" s="10"/>
      <c r="C7" s="4"/>
      <c r="D7" s="54"/>
      <c r="E7" s="54"/>
      <c r="F7" s="54"/>
      <c r="G7" s="54"/>
      <c r="H7" s="54"/>
      <c r="I7" s="54"/>
      <c r="J7" s="54"/>
      <c r="K7" s="54"/>
      <c r="L7" s="54"/>
      <c r="M7" s="54"/>
      <c r="N7" s="54"/>
      <c r="O7" s="54"/>
      <c r="P7" s="54"/>
      <c r="Q7" s="54"/>
      <c r="R7" s="54"/>
      <c r="S7" s="54"/>
      <c r="T7" s="54"/>
      <c r="U7" s="6"/>
      <c r="V7" s="10"/>
    </row>
    <row r="8" spans="2:22" x14ac:dyDescent="0.25">
      <c r="B8" s="10"/>
      <c r="C8" s="4"/>
      <c r="D8" s="54"/>
      <c r="E8" s="54"/>
      <c r="F8" s="54"/>
      <c r="G8" s="54"/>
      <c r="H8" s="54"/>
      <c r="I8" s="54"/>
      <c r="J8" s="54"/>
      <c r="K8" s="54"/>
      <c r="L8" s="54"/>
      <c r="M8" s="54"/>
      <c r="N8" s="54"/>
      <c r="O8" s="54"/>
      <c r="P8" s="54"/>
      <c r="Q8" s="54"/>
      <c r="R8" s="54"/>
      <c r="S8" s="54"/>
      <c r="T8" s="54"/>
      <c r="U8" s="6"/>
      <c r="V8" s="10"/>
    </row>
    <row r="9" spans="2:22" x14ac:dyDescent="0.25">
      <c r="B9" s="10"/>
      <c r="C9" s="4"/>
      <c r="D9" s="54"/>
      <c r="E9" s="54"/>
      <c r="F9" s="54"/>
      <c r="G9" s="54"/>
      <c r="H9" s="54"/>
      <c r="I9" s="54"/>
      <c r="J9" s="54"/>
      <c r="K9" s="54"/>
      <c r="L9" s="54"/>
      <c r="M9" s="54"/>
      <c r="N9" s="54"/>
      <c r="O9" s="54"/>
      <c r="P9" s="54"/>
      <c r="Q9" s="54"/>
      <c r="R9" s="54"/>
      <c r="S9" s="54"/>
      <c r="T9" s="54"/>
      <c r="U9" s="6"/>
      <c r="V9" s="10"/>
    </row>
    <row r="10" spans="2:22" x14ac:dyDescent="0.25">
      <c r="B10" s="10"/>
      <c r="C10" s="4"/>
      <c r="D10" s="54"/>
      <c r="E10" s="54"/>
      <c r="F10" s="54"/>
      <c r="G10" s="54"/>
      <c r="H10" s="54"/>
      <c r="I10" s="54"/>
      <c r="J10" s="54"/>
      <c r="K10" s="54"/>
      <c r="L10" s="54"/>
      <c r="M10" s="54"/>
      <c r="N10" s="54"/>
      <c r="O10" s="54"/>
      <c r="P10" s="54"/>
      <c r="Q10" s="54"/>
      <c r="R10" s="54"/>
      <c r="S10" s="54"/>
      <c r="T10" s="54"/>
      <c r="U10" s="6"/>
      <c r="V10" s="10"/>
    </row>
    <row r="11" spans="2:22" x14ac:dyDescent="0.25">
      <c r="B11" s="10"/>
      <c r="C11" s="4"/>
      <c r="D11" s="54"/>
      <c r="E11" s="54"/>
      <c r="F11" s="54"/>
      <c r="G11" s="54"/>
      <c r="H11" s="54"/>
      <c r="I11" s="54"/>
      <c r="J11" s="54"/>
      <c r="K11" s="54"/>
      <c r="L11" s="54"/>
      <c r="M11" s="54"/>
      <c r="N11" s="54"/>
      <c r="O11" s="54"/>
      <c r="P11" s="54"/>
      <c r="Q11" s="54"/>
      <c r="R11" s="54"/>
      <c r="S11" s="54"/>
      <c r="T11" s="54"/>
      <c r="U11" s="6"/>
      <c r="V11" s="10"/>
    </row>
    <row r="12" spans="2:22" x14ac:dyDescent="0.25">
      <c r="B12" s="10"/>
      <c r="C12" s="4"/>
      <c r="D12" s="54"/>
      <c r="E12" s="54"/>
      <c r="F12" s="54"/>
      <c r="G12" s="54"/>
      <c r="H12" s="54"/>
      <c r="I12" s="54"/>
      <c r="J12" s="54"/>
      <c r="K12" s="54"/>
      <c r="L12" s="54"/>
      <c r="M12" s="54"/>
      <c r="N12" s="54"/>
      <c r="O12" s="54"/>
      <c r="P12" s="54"/>
      <c r="Q12" s="54"/>
      <c r="R12" s="54"/>
      <c r="S12" s="54"/>
      <c r="T12" s="54"/>
      <c r="U12" s="6"/>
      <c r="V12" s="10"/>
    </row>
    <row r="13" spans="2:22" x14ac:dyDescent="0.25">
      <c r="B13" s="10"/>
      <c r="C13" s="4"/>
      <c r="D13" s="54"/>
      <c r="E13" s="54"/>
      <c r="F13" s="54"/>
      <c r="G13" s="54"/>
      <c r="H13" s="54"/>
      <c r="I13" s="54"/>
      <c r="J13" s="54"/>
      <c r="K13" s="54"/>
      <c r="L13" s="54"/>
      <c r="M13" s="54"/>
      <c r="N13" s="54"/>
      <c r="O13" s="54"/>
      <c r="P13" s="54"/>
      <c r="Q13" s="54"/>
      <c r="R13" s="54"/>
      <c r="S13" s="54"/>
      <c r="T13" s="54"/>
      <c r="U13" s="6"/>
      <c r="V13" s="10"/>
    </row>
    <row r="14" spans="2:22" x14ac:dyDescent="0.25">
      <c r="B14" s="10"/>
      <c r="C14" s="4"/>
      <c r="D14" s="54"/>
      <c r="E14" s="54"/>
      <c r="F14" s="54"/>
      <c r="G14" s="54"/>
      <c r="H14" s="54"/>
      <c r="I14" s="54"/>
      <c r="J14" s="54"/>
      <c r="K14" s="54"/>
      <c r="L14" s="54"/>
      <c r="M14" s="54"/>
      <c r="N14" s="54"/>
      <c r="O14" s="54"/>
      <c r="P14" s="54"/>
      <c r="Q14" s="54"/>
      <c r="R14" s="54"/>
      <c r="S14" s="54"/>
      <c r="T14" s="54"/>
      <c r="U14" s="6"/>
      <c r="V14" s="10"/>
    </row>
    <row r="15" spans="2:22" x14ac:dyDescent="0.25">
      <c r="B15" s="10"/>
      <c r="C15" s="4"/>
      <c r="D15" s="54"/>
      <c r="E15" s="54"/>
      <c r="F15" s="54"/>
      <c r="G15" s="54"/>
      <c r="H15" s="54"/>
      <c r="I15" s="54"/>
      <c r="J15" s="54"/>
      <c r="K15" s="54"/>
      <c r="L15" s="54"/>
      <c r="M15" s="54"/>
      <c r="N15" s="54"/>
      <c r="O15" s="54"/>
      <c r="P15" s="54"/>
      <c r="Q15" s="54"/>
      <c r="R15" s="54"/>
      <c r="S15" s="54"/>
      <c r="T15" s="54"/>
      <c r="U15" s="6"/>
      <c r="V15" s="10"/>
    </row>
    <row r="16" spans="2:22" x14ac:dyDescent="0.25">
      <c r="B16" s="10"/>
      <c r="C16" s="4"/>
      <c r="D16" s="54"/>
      <c r="E16" s="54"/>
      <c r="F16" s="54"/>
      <c r="G16" s="54"/>
      <c r="H16" s="54"/>
      <c r="I16" s="54"/>
      <c r="J16" s="54"/>
      <c r="K16" s="54"/>
      <c r="L16" s="54"/>
      <c r="M16" s="54"/>
      <c r="N16" s="54"/>
      <c r="O16" s="54"/>
      <c r="P16" s="54"/>
      <c r="Q16" s="54"/>
      <c r="R16" s="54"/>
      <c r="S16" s="54"/>
      <c r="T16" s="54"/>
      <c r="U16" s="6"/>
      <c r="V16" s="10"/>
    </row>
    <row r="17" spans="2:22" x14ac:dyDescent="0.25">
      <c r="B17" s="10"/>
      <c r="C17" s="4"/>
      <c r="D17" s="54"/>
      <c r="E17" s="54"/>
      <c r="F17" s="54"/>
      <c r="G17" s="54"/>
      <c r="H17" s="54"/>
      <c r="I17" s="54"/>
      <c r="J17" s="54"/>
      <c r="K17" s="54"/>
      <c r="L17" s="54"/>
      <c r="M17" s="54"/>
      <c r="N17" s="54"/>
      <c r="O17" s="54"/>
      <c r="P17" s="54"/>
      <c r="Q17" s="54"/>
      <c r="R17" s="54"/>
      <c r="S17" s="54"/>
      <c r="T17" s="54"/>
      <c r="U17" s="6"/>
      <c r="V17" s="10"/>
    </row>
    <row r="18" spans="2:22" x14ac:dyDescent="0.25">
      <c r="B18" s="10"/>
      <c r="C18" s="4"/>
      <c r="D18" s="54"/>
      <c r="E18" s="54"/>
      <c r="F18" s="54"/>
      <c r="G18" s="54"/>
      <c r="H18" s="54"/>
      <c r="I18" s="54"/>
      <c r="J18" s="54"/>
      <c r="K18" s="54"/>
      <c r="L18" s="54"/>
      <c r="M18" s="54"/>
      <c r="N18" s="54"/>
      <c r="O18" s="54"/>
      <c r="P18" s="54"/>
      <c r="Q18" s="54"/>
      <c r="R18" s="54"/>
      <c r="S18" s="54"/>
      <c r="T18" s="54"/>
      <c r="U18" s="6"/>
      <c r="V18" s="10"/>
    </row>
    <row r="19" spans="2:22" x14ac:dyDescent="0.25">
      <c r="B19" s="10"/>
      <c r="C19" s="4"/>
      <c r="D19" s="54"/>
      <c r="E19" s="54"/>
      <c r="F19" s="54"/>
      <c r="G19" s="54"/>
      <c r="H19" s="54"/>
      <c r="I19" s="54"/>
      <c r="J19" s="54"/>
      <c r="K19" s="54"/>
      <c r="L19" s="54"/>
      <c r="M19" s="54"/>
      <c r="N19" s="54"/>
      <c r="O19" s="54"/>
      <c r="P19" s="54"/>
      <c r="Q19" s="54"/>
      <c r="R19" s="54"/>
      <c r="S19" s="54"/>
      <c r="T19" s="54"/>
      <c r="U19" s="6"/>
      <c r="V19" s="10"/>
    </row>
    <row r="20" spans="2:22" x14ac:dyDescent="0.25">
      <c r="B20" s="10"/>
      <c r="C20" s="4"/>
      <c r="D20" s="54"/>
      <c r="E20" s="54"/>
      <c r="F20" s="54"/>
      <c r="G20" s="54"/>
      <c r="H20" s="54"/>
      <c r="I20" s="54"/>
      <c r="J20" s="54"/>
      <c r="K20" s="54"/>
      <c r="L20" s="54"/>
      <c r="M20" s="54"/>
      <c r="N20" s="54"/>
      <c r="O20" s="54"/>
      <c r="P20" s="54"/>
      <c r="Q20" s="54"/>
      <c r="R20" s="54"/>
      <c r="S20" s="54"/>
      <c r="T20" s="54"/>
      <c r="U20" s="6"/>
      <c r="V20" s="10"/>
    </row>
    <row r="21" spans="2:22" x14ac:dyDescent="0.25">
      <c r="B21" s="10"/>
      <c r="C21" s="4"/>
      <c r="D21" s="54"/>
      <c r="E21" s="54"/>
      <c r="F21" s="54"/>
      <c r="G21" s="54"/>
      <c r="H21" s="54"/>
      <c r="I21" s="54"/>
      <c r="J21" s="54"/>
      <c r="K21" s="54"/>
      <c r="L21" s="54"/>
      <c r="M21" s="54"/>
      <c r="N21" s="54"/>
      <c r="O21" s="54"/>
      <c r="P21" s="54"/>
      <c r="Q21" s="54"/>
      <c r="R21" s="54"/>
      <c r="S21" s="54"/>
      <c r="T21" s="54"/>
      <c r="U21" s="6"/>
      <c r="V21" s="10"/>
    </row>
    <row r="22" spans="2:22" x14ac:dyDescent="0.25">
      <c r="B22" s="10"/>
      <c r="C22" s="4"/>
      <c r="D22" s="54"/>
      <c r="E22" s="54"/>
      <c r="F22" s="54"/>
      <c r="G22" s="54"/>
      <c r="H22" s="54"/>
      <c r="I22" s="54"/>
      <c r="J22" s="54"/>
      <c r="K22" s="54"/>
      <c r="L22" s="54"/>
      <c r="M22" s="54"/>
      <c r="N22" s="54"/>
      <c r="O22" s="54"/>
      <c r="P22" s="54"/>
      <c r="Q22" s="54"/>
      <c r="R22" s="54"/>
      <c r="S22" s="54"/>
      <c r="T22" s="54"/>
      <c r="U22" s="6"/>
      <c r="V22" s="10"/>
    </row>
    <row r="23" spans="2:22" x14ac:dyDescent="0.25">
      <c r="B23" s="10"/>
      <c r="C23" s="4"/>
      <c r="D23" s="54"/>
      <c r="E23" s="54"/>
      <c r="F23" s="54"/>
      <c r="G23" s="54"/>
      <c r="H23" s="54"/>
      <c r="I23" s="54"/>
      <c r="J23" s="54"/>
      <c r="K23" s="54"/>
      <c r="L23" s="54"/>
      <c r="M23" s="54"/>
      <c r="N23" s="54"/>
      <c r="O23" s="54"/>
      <c r="P23" s="54"/>
      <c r="Q23" s="54"/>
      <c r="R23" s="54"/>
      <c r="S23" s="54"/>
      <c r="T23" s="54"/>
      <c r="U23" s="6"/>
      <c r="V23" s="10"/>
    </row>
    <row r="24" spans="2:22" x14ac:dyDescent="0.25">
      <c r="B24" s="10"/>
      <c r="C24" s="4"/>
      <c r="D24" s="54"/>
      <c r="E24" s="54"/>
      <c r="F24" s="54"/>
      <c r="G24" s="54"/>
      <c r="H24" s="54"/>
      <c r="I24" s="54"/>
      <c r="J24" s="54"/>
      <c r="K24" s="54"/>
      <c r="L24" s="54"/>
      <c r="M24" s="54"/>
      <c r="N24" s="54"/>
      <c r="O24" s="54"/>
      <c r="P24" s="54"/>
      <c r="Q24" s="54"/>
      <c r="R24" s="54"/>
      <c r="S24" s="54"/>
      <c r="T24" s="54"/>
      <c r="U24" s="6"/>
      <c r="V24" s="10"/>
    </row>
    <row r="25" spans="2:22" x14ac:dyDescent="0.25">
      <c r="B25" s="10"/>
      <c r="C25" s="4"/>
      <c r="D25" s="54"/>
      <c r="E25" s="54"/>
      <c r="F25" s="54"/>
      <c r="G25" s="54"/>
      <c r="H25" s="54"/>
      <c r="I25" s="54"/>
      <c r="J25" s="54"/>
      <c r="K25" s="54"/>
      <c r="L25" s="54"/>
      <c r="M25" s="54"/>
      <c r="N25" s="54"/>
      <c r="O25" s="54"/>
      <c r="P25" s="54"/>
      <c r="Q25" s="54"/>
      <c r="R25" s="54"/>
      <c r="S25" s="54"/>
      <c r="T25" s="54"/>
      <c r="U25" s="6"/>
      <c r="V25" s="10"/>
    </row>
    <row r="26" spans="2:22" x14ac:dyDescent="0.25">
      <c r="B26" s="10"/>
      <c r="C26" s="4"/>
      <c r="D26" s="54"/>
      <c r="E26" s="54"/>
      <c r="F26" s="54"/>
      <c r="G26" s="54"/>
      <c r="H26" s="54"/>
      <c r="I26" s="54"/>
      <c r="J26" s="54"/>
      <c r="K26" s="54"/>
      <c r="L26" s="54"/>
      <c r="M26" s="54"/>
      <c r="N26" s="54"/>
      <c r="O26" s="54"/>
      <c r="P26" s="54"/>
      <c r="Q26" s="54"/>
      <c r="R26" s="54"/>
      <c r="S26" s="54"/>
      <c r="T26" s="54"/>
      <c r="U26" s="6"/>
      <c r="V26" s="10"/>
    </row>
    <row r="27" spans="2:22" x14ac:dyDescent="0.25">
      <c r="B27" s="10"/>
      <c r="C27" s="4"/>
      <c r="D27" s="54"/>
      <c r="E27" s="54"/>
      <c r="F27" s="54"/>
      <c r="G27" s="54"/>
      <c r="H27" s="54"/>
      <c r="I27" s="54"/>
      <c r="J27" s="54"/>
      <c r="K27" s="54"/>
      <c r="L27" s="54"/>
      <c r="M27" s="54"/>
      <c r="N27" s="54"/>
      <c r="O27" s="54"/>
      <c r="P27" s="54"/>
      <c r="Q27" s="54"/>
      <c r="R27" s="54"/>
      <c r="S27" s="54"/>
      <c r="T27" s="54"/>
      <c r="U27" s="6"/>
      <c r="V27" s="10"/>
    </row>
    <row r="28" spans="2:22" x14ac:dyDescent="0.25">
      <c r="B28" s="10"/>
      <c r="C28" s="4"/>
      <c r="D28" s="54"/>
      <c r="E28" s="54"/>
      <c r="F28" s="54"/>
      <c r="G28" s="54"/>
      <c r="H28" s="54"/>
      <c r="I28" s="54"/>
      <c r="J28" s="54"/>
      <c r="K28" s="54"/>
      <c r="L28" s="54"/>
      <c r="M28" s="54"/>
      <c r="N28" s="54"/>
      <c r="O28" s="54"/>
      <c r="P28" s="54"/>
      <c r="Q28" s="54"/>
      <c r="R28" s="54"/>
      <c r="S28" s="54"/>
      <c r="T28" s="54"/>
      <c r="U28" s="6"/>
      <c r="V28" s="10"/>
    </row>
    <row r="29" spans="2:22" x14ac:dyDescent="0.25">
      <c r="B29" s="10"/>
      <c r="C29" s="4"/>
      <c r="D29" s="54"/>
      <c r="E29" s="54"/>
      <c r="F29" s="54"/>
      <c r="G29" s="54"/>
      <c r="H29" s="54"/>
      <c r="I29" s="54"/>
      <c r="J29" s="54"/>
      <c r="K29" s="54"/>
      <c r="L29" s="54"/>
      <c r="M29" s="54"/>
      <c r="N29" s="54"/>
      <c r="O29" s="54"/>
      <c r="P29" s="54"/>
      <c r="Q29" s="54"/>
      <c r="R29" s="54"/>
      <c r="S29" s="54"/>
      <c r="T29" s="54"/>
      <c r="U29" s="6"/>
      <c r="V29" s="10"/>
    </row>
    <row r="30" spans="2:22" ht="15.75" thickBot="1" x14ac:dyDescent="0.3">
      <c r="B30" s="10"/>
      <c r="C30" s="7"/>
      <c r="D30" s="8"/>
      <c r="E30" s="8"/>
      <c r="F30" s="8"/>
      <c r="G30" s="8"/>
      <c r="H30" s="8"/>
      <c r="I30" s="8"/>
      <c r="J30" s="8"/>
      <c r="K30" s="8"/>
      <c r="L30" s="8"/>
      <c r="M30" s="8"/>
      <c r="N30" s="8"/>
      <c r="O30" s="8"/>
      <c r="P30" s="8"/>
      <c r="Q30" s="8"/>
      <c r="R30" s="8"/>
      <c r="S30" s="8"/>
      <c r="T30" s="8"/>
      <c r="U30" s="9"/>
      <c r="V30" s="10"/>
    </row>
    <row r="31" spans="2:22" x14ac:dyDescent="0.25">
      <c r="B31" s="10"/>
      <c r="C31" s="10"/>
      <c r="D31" s="10"/>
      <c r="E31" s="10"/>
      <c r="F31" s="10"/>
      <c r="G31" s="10"/>
      <c r="H31" s="10"/>
      <c r="I31" s="10"/>
      <c r="J31" s="10"/>
      <c r="K31" s="10"/>
      <c r="L31" s="10"/>
      <c r="M31" s="10"/>
      <c r="N31" s="10"/>
      <c r="O31" s="10"/>
      <c r="P31" s="10"/>
      <c r="Q31" s="10"/>
      <c r="R31" s="10"/>
      <c r="S31" s="10"/>
      <c r="T31" s="10"/>
      <c r="U31" s="10"/>
      <c r="V31" s="10"/>
    </row>
  </sheetData>
  <mergeCells count="7">
    <mergeCell ref="T2:U6"/>
    <mergeCell ref="J2:K6"/>
    <mergeCell ref="C2:I6"/>
    <mergeCell ref="L2:M6"/>
    <mergeCell ref="N2:O6"/>
    <mergeCell ref="P2:Q6"/>
    <mergeCell ref="R2:S6"/>
  </mergeCells>
  <pageMargins left="0.7" right="0.7" top="0.75" bottom="0.75" header="0.3" footer="0.3"/>
  <pageSetup orientation="portrait" r:id="rId1"/>
  <drawing r:id="rId2"/>
  <picture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enc"/>
  <dimension ref="A1:X17"/>
  <sheetViews>
    <sheetView showGridLines="0" showRowColHeaders="0" topLeftCell="B1" zoomScaleNormal="100" workbookViewId="0">
      <selection activeCell="I8" sqref="I8:J8"/>
    </sheetView>
  </sheetViews>
  <sheetFormatPr defaultColWidth="0" defaultRowHeight="0" customHeight="1" zeroHeight="1" x14ac:dyDescent="0.25"/>
  <cols>
    <col min="1" max="1" width="0" hidden="1" customWidth="1"/>
    <col min="2" max="2" width="5.7109375" style="22" customWidth="1"/>
    <col min="3" max="4" width="8.42578125" style="20" hidden="1" customWidth="1"/>
    <col min="5" max="5" width="8.140625" customWidth="1"/>
    <col min="6" max="6" width="10.140625" bestFit="1" customWidth="1"/>
    <col min="7" max="21" width="9.140625" customWidth="1"/>
    <col min="22" max="22" width="9.7109375" customWidth="1"/>
    <col min="23" max="23" width="9.140625" customWidth="1"/>
    <col min="24" max="24" width="5.7109375" customWidth="1"/>
    <col min="25" max="16384" width="9.140625" hidden="1"/>
  </cols>
  <sheetData>
    <row r="1" spans="2:24" ht="15.75" thickBot="1" x14ac:dyDescent="0.3">
      <c r="B1" s="21"/>
      <c r="C1" s="19"/>
      <c r="D1" s="19"/>
      <c r="E1" s="10"/>
      <c r="F1" s="10"/>
      <c r="G1" s="10"/>
      <c r="H1" s="10"/>
      <c r="I1" s="10"/>
      <c r="J1" s="10"/>
      <c r="K1" s="10"/>
      <c r="L1" s="10"/>
      <c r="M1" s="10"/>
      <c r="N1" s="10"/>
      <c r="O1" s="10"/>
      <c r="P1" s="10"/>
      <c r="Q1" s="10"/>
      <c r="R1" s="10"/>
      <c r="S1" s="10"/>
      <c r="T1" s="10"/>
      <c r="U1" s="10"/>
      <c r="V1" s="10"/>
      <c r="W1" s="10"/>
      <c r="X1" s="10"/>
    </row>
    <row r="2" spans="2:24" ht="15" customHeight="1" x14ac:dyDescent="0.25">
      <c r="B2" s="21"/>
      <c r="C2" s="19"/>
      <c r="D2" s="19"/>
      <c r="E2" s="90"/>
      <c r="F2" s="91"/>
      <c r="G2" s="91"/>
      <c r="H2" s="91"/>
      <c r="I2" s="91"/>
      <c r="J2" s="91"/>
      <c r="K2" s="91"/>
      <c r="L2" s="94" t="s">
        <v>648</v>
      </c>
      <c r="M2" s="94"/>
      <c r="N2" s="69" t="s">
        <v>647</v>
      </c>
      <c r="O2" s="69"/>
      <c r="P2" s="69" t="s">
        <v>641</v>
      </c>
      <c r="Q2" s="69"/>
      <c r="R2" s="69" t="s">
        <v>642</v>
      </c>
      <c r="S2" s="69"/>
      <c r="T2" s="69" t="s">
        <v>643</v>
      </c>
      <c r="U2" s="69"/>
      <c r="V2" s="69" t="s">
        <v>644</v>
      </c>
      <c r="W2" s="70"/>
      <c r="X2" s="10"/>
    </row>
    <row r="3" spans="2:24" ht="15" x14ac:dyDescent="0.25">
      <c r="B3" s="21"/>
      <c r="C3" s="19"/>
      <c r="D3" s="19"/>
      <c r="E3" s="92"/>
      <c r="F3" s="93"/>
      <c r="G3" s="93"/>
      <c r="H3" s="93"/>
      <c r="I3" s="93"/>
      <c r="J3" s="93"/>
      <c r="K3" s="93"/>
      <c r="L3" s="95"/>
      <c r="M3" s="95"/>
      <c r="N3" s="71"/>
      <c r="O3" s="71"/>
      <c r="P3" s="71"/>
      <c r="Q3" s="71"/>
      <c r="R3" s="71"/>
      <c r="S3" s="71"/>
      <c r="T3" s="71"/>
      <c r="U3" s="71"/>
      <c r="V3" s="71"/>
      <c r="W3" s="72"/>
      <c r="X3" s="10"/>
    </row>
    <row r="4" spans="2:24" ht="15" x14ac:dyDescent="0.25">
      <c r="B4" s="21"/>
      <c r="C4" s="19"/>
      <c r="D4" s="19"/>
      <c r="E4" s="92"/>
      <c r="F4" s="93"/>
      <c r="G4" s="93"/>
      <c r="H4" s="93"/>
      <c r="I4" s="93"/>
      <c r="J4" s="93"/>
      <c r="K4" s="93"/>
      <c r="L4" s="95"/>
      <c r="M4" s="95"/>
      <c r="N4" s="71"/>
      <c r="O4" s="71"/>
      <c r="P4" s="71"/>
      <c r="Q4" s="71"/>
      <c r="R4" s="71"/>
      <c r="S4" s="71"/>
      <c r="T4" s="71"/>
      <c r="U4" s="71"/>
      <c r="V4" s="71"/>
      <c r="W4" s="72"/>
      <c r="X4" s="10"/>
    </row>
    <row r="5" spans="2:24" ht="15" x14ac:dyDescent="0.25">
      <c r="B5" s="21"/>
      <c r="C5" s="19"/>
      <c r="D5" s="19"/>
      <c r="E5" s="92"/>
      <c r="F5" s="93"/>
      <c r="G5" s="93"/>
      <c r="H5" s="93"/>
      <c r="I5" s="93"/>
      <c r="J5" s="93"/>
      <c r="K5" s="93"/>
      <c r="L5" s="95"/>
      <c r="M5" s="95"/>
      <c r="N5" s="71"/>
      <c r="O5" s="71"/>
      <c r="P5" s="71"/>
      <c r="Q5" s="71"/>
      <c r="R5" s="71"/>
      <c r="S5" s="71"/>
      <c r="T5" s="71"/>
      <c r="U5" s="71"/>
      <c r="V5" s="71"/>
      <c r="W5" s="72"/>
      <c r="X5" s="10"/>
    </row>
    <row r="6" spans="2:24" ht="15" x14ac:dyDescent="0.25">
      <c r="B6" s="21"/>
      <c r="C6" s="19"/>
      <c r="D6" s="19"/>
      <c r="E6" s="92"/>
      <c r="F6" s="93"/>
      <c r="G6" s="93"/>
      <c r="H6" s="93"/>
      <c r="I6" s="93"/>
      <c r="J6" s="93"/>
      <c r="K6" s="93"/>
      <c r="L6" s="95"/>
      <c r="M6" s="95"/>
      <c r="N6" s="71"/>
      <c r="O6" s="71"/>
      <c r="P6" s="71"/>
      <c r="Q6" s="71"/>
      <c r="R6" s="71"/>
      <c r="S6" s="71"/>
      <c r="T6" s="71"/>
      <c r="U6" s="71"/>
      <c r="V6" s="71"/>
      <c r="W6" s="72"/>
      <c r="X6" s="10"/>
    </row>
    <row r="7" spans="2:24" ht="15.75" thickBot="1" x14ac:dyDescent="0.3">
      <c r="B7" s="21"/>
      <c r="C7" s="19"/>
      <c r="D7" s="19"/>
      <c r="E7" s="4"/>
      <c r="F7" s="54"/>
      <c r="G7" s="54"/>
      <c r="H7" s="54"/>
      <c r="I7" s="54"/>
      <c r="J7" s="54"/>
      <c r="K7" s="54"/>
      <c r="L7" s="54"/>
      <c r="M7" s="54"/>
      <c r="N7" s="54"/>
      <c r="O7" s="54"/>
      <c r="P7" s="54"/>
      <c r="Q7" s="54"/>
      <c r="R7" s="54"/>
      <c r="S7" s="54"/>
      <c r="T7" s="54"/>
      <c r="U7" s="54"/>
      <c r="V7" s="54"/>
      <c r="W7" s="6"/>
      <c r="X7" s="10"/>
    </row>
    <row r="8" spans="2:24" ht="15.75" thickBot="1" x14ac:dyDescent="0.3">
      <c r="B8" s="21"/>
      <c r="C8" s="19" t="s">
        <v>650</v>
      </c>
      <c r="D8" s="19">
        <f ca="1">COUNT(DataB)</f>
        <v>700</v>
      </c>
      <c r="E8" s="88" t="s">
        <v>649</v>
      </c>
      <c r="F8" s="89"/>
      <c r="G8" s="98" t="s">
        <v>3</v>
      </c>
      <c r="H8" s="99"/>
      <c r="I8" s="96"/>
      <c r="J8" s="97"/>
      <c r="K8" s="54"/>
      <c r="L8" s="54"/>
      <c r="M8" s="54"/>
      <c r="N8" s="54"/>
      <c r="O8" s="54"/>
      <c r="P8" s="54"/>
      <c r="Q8" s="54"/>
      <c r="R8" s="54"/>
      <c r="S8" s="54"/>
      <c r="T8" s="54"/>
      <c r="U8" s="54"/>
      <c r="V8" s="54"/>
      <c r="W8" s="6"/>
      <c r="X8" s="10"/>
    </row>
    <row r="9" spans="2:24" ht="15.75" thickBot="1" x14ac:dyDescent="0.3">
      <c r="B9" s="21"/>
      <c r="C9" s="19" t="s">
        <v>651</v>
      </c>
      <c r="D9" s="19">
        <f t="array" aca="1" ref="D9" ca="1">COUNT(IF(ISERROR(SEARCH(I8,OFFSET(Database!$A$1,1,C10,D8,1),1)),”A”,1))</f>
        <v>200</v>
      </c>
      <c r="E9" s="12" t="str">
        <f>G8</f>
        <v>NAMA INSTITUSI</v>
      </c>
      <c r="F9" s="54"/>
      <c r="G9" s="54"/>
      <c r="H9" s="54"/>
      <c r="I9" s="54" t="s">
        <v>871</v>
      </c>
      <c r="J9" s="54"/>
      <c r="K9" s="54"/>
      <c r="L9" s="54"/>
      <c r="M9" s="54"/>
      <c r="N9" s="54"/>
      <c r="O9" s="54"/>
      <c r="P9" s="54"/>
      <c r="Q9" s="54"/>
      <c r="R9" s="54"/>
      <c r="S9" s="54"/>
      <c r="T9" s="54"/>
      <c r="U9" s="54"/>
      <c r="V9" s="54"/>
      <c r="W9" s="6"/>
      <c r="X9" s="10"/>
    </row>
    <row r="10" spans="2:24" ht="50.1" customHeight="1" x14ac:dyDescent="0.25">
      <c r="B10" s="21"/>
      <c r="C10" s="19">
        <f>MATCH(E9,HeaderMD,0)</f>
        <v>3</v>
      </c>
      <c r="D10" s="19" t="s">
        <v>0</v>
      </c>
      <c r="E10" s="12">
        <v>1</v>
      </c>
      <c r="F10" s="41" t="s">
        <v>756</v>
      </c>
      <c r="G10" s="42" t="s">
        <v>2</v>
      </c>
      <c r="H10" s="86" t="s">
        <v>757</v>
      </c>
      <c r="I10" s="87"/>
      <c r="J10" s="42" t="s">
        <v>652</v>
      </c>
      <c r="K10" s="42" t="s">
        <v>758</v>
      </c>
      <c r="L10" s="42" t="s">
        <v>4</v>
      </c>
      <c r="M10" s="42" t="s">
        <v>5</v>
      </c>
      <c r="N10" s="42" t="s">
        <v>653</v>
      </c>
      <c r="O10" s="83" t="s">
        <v>760</v>
      </c>
      <c r="P10" s="84"/>
      <c r="Q10" s="84"/>
      <c r="R10" s="85"/>
      <c r="S10" s="42" t="s">
        <v>761</v>
      </c>
      <c r="T10" s="42" t="s">
        <v>762</v>
      </c>
      <c r="U10" s="42" t="s">
        <v>646</v>
      </c>
      <c r="V10" s="43" t="s">
        <v>763</v>
      </c>
      <c r="W10" s="6"/>
      <c r="X10" s="10"/>
    </row>
    <row r="11" spans="2:24" ht="50.1" customHeight="1" x14ac:dyDescent="0.25">
      <c r="B11" s="21"/>
      <c r="C11" s="19">
        <v>1</v>
      </c>
      <c r="D11" s="19">
        <f t="array" aca="1" ref="D11" ca="1">IF(C11&gt;$D$9,"",SMALL(IF(ISERROR(SEARCH($I$8,OFFSET(Database!$A$1,1,$C$10,$D$8,1),1)),"",ROW(OFFSET(Penelitian!$A$1,1,$C$10,$D$8,1))),C11)-1)</f>
        <v>1</v>
      </c>
      <c r="E11" s="11"/>
      <c r="F11" s="44" t="str">
        <f t="array" aca="1" ref="F11" ca="1">IFERROR(IF(C11&gt;$D$9,””,OFFSET(Database!$A$1,D11,1)),"")</f>
        <v>Penelitian</v>
      </c>
      <c r="G11" s="59" t="str">
        <f t="array" aca="1" ref="G11" ca="1">IFERROR(IF(C11&gt;$D$9,””,OFFSET(Database!$A$1,D11,2)),"")</f>
        <v>LLDIKTI WILAYAH IV</v>
      </c>
      <c r="H11" s="77" t="str">
        <f ca="1">IFERROR(IF(C11&gt;$D$9,””,OFFSET(Database!$A$1,D11,3)),"")</f>
        <v>Sekolah Tinggi Ilmu Kesehatan Makassar</v>
      </c>
      <c r="I11" s="79"/>
      <c r="J11" s="59" t="str">
        <f t="array" aca="1" ref="J11" ca="1">IFERROR(IF(C11&gt;$D$9,””,OFFSET(Database!$A$1,D11,4)),"")</f>
        <v>Penelitian Dosen Pemula</v>
      </c>
      <c r="K11" s="59" t="str">
        <f t="array" aca="1" ref="K11" ca="1">IFERROR(IF(C11&gt;$D$9,””,OFFSET(Database!$A$1,D11,5)),"")</f>
        <v>Ketut Putra Sedana</v>
      </c>
      <c r="L11" s="59" t="str">
        <f t="array" aca="1" ref="L11" ca="1">IFERROR(IF(C11&gt;$D$9,””,OFFSET(Database!$A$1,D11,6)),"")</f>
        <v>Ismaini Zain</v>
      </c>
      <c r="M11" s="59" t="str">
        <f t="array" aca="1" ref="M11" ca="1">IFERROR(IF(C11&gt;$D$9,””,OFFSET(Database!$A$1,D11,7)),"")</f>
        <v>Agnes Tuti rumiati</v>
      </c>
      <c r="N11" s="59" t="str">
        <f t="array" aca="1" ref="N11" ca="1">IFERROR(IF(C11&gt;$D$9,””,OFFSET(Database!$A$1,D11,8)),"")</f>
        <v>3630017201</v>
      </c>
      <c r="O11" s="77" t="str">
        <f ca="1">IFERROR(IF(C11&gt;$D$9,””,OFFSET(Database!$A$1,D11,9)),"")</f>
        <v xml:space="preserve">Analisis Cluster Dengan Complete Linkage Dan Ward’S Method Untuk Data Pelayanan </v>
      </c>
      <c r="P11" s="78"/>
      <c r="Q11" s="78"/>
      <c r="R11" s="79"/>
      <c r="S11" s="59">
        <f t="array" aca="1" ref="S11" ca="1">IFERROR(IF(C11&gt;$D$9,””,OFFSET(Database!$A$1,D11,10)),"")</f>
        <v>1</v>
      </c>
      <c r="T11" s="59" t="str">
        <f t="array" aca="1" ref="T11" ca="1">IFERROR(IF(C11&gt;$D$9,””,OFFSET(Database!$A$1,D11,11)),"")</f>
        <v>Lanjutan</v>
      </c>
      <c r="U11" s="59">
        <f t="array" aca="1" ref="U11" ca="1">IFERROR(IF(C11&gt;$D$9,””,OFFSET(Database!$A$1,D11,12)),"")</f>
        <v>2017</v>
      </c>
      <c r="V11" s="60">
        <f t="array" aca="1" ref="V11" ca="1">IFERROR(IF(C11&gt;$D$9,””,OFFSET(Database!$A$1,D11,13)),"")</f>
        <v>59000000</v>
      </c>
      <c r="W11" s="6"/>
      <c r="X11" s="10"/>
    </row>
    <row r="12" spans="2:24" ht="50.1" customHeight="1" x14ac:dyDescent="0.25">
      <c r="B12" s="21"/>
      <c r="C12" s="19">
        <f>C11+1</f>
        <v>2</v>
      </c>
      <c r="D12" s="19">
        <f t="array" aca="1" ref="D12" ca="1">IF(C12&gt;$D$9,"",SMALL(IF(ISERROR(SEARCH($I$8,OFFSET(Database!$A$1,1,$C$10,$D$8,1),1)),"",ROW(OFFSET(Penelitian!$A$1,1,$C$10,$D$8,1))),C12)-1)</f>
        <v>2</v>
      </c>
      <c r="E12" s="11"/>
      <c r="F12" s="44" t="str">
        <f t="array" aca="1" ref="F12" ca="1">IFERROR(IF(C12&gt;$D$9,””,OFFSET(Database!$A$1,D12,1)),"")</f>
        <v>Penelitian</v>
      </c>
      <c r="G12" s="59" t="str">
        <f t="array" aca="1" ref="G12" ca="1">IFERROR(IF(C12&gt;$D$9,””,OFFSET(Database!$A$1,D12,2)),"")</f>
        <v>LLDIKTI WILAYAH VII</v>
      </c>
      <c r="H12" s="77" t="str">
        <f ca="1">IFERROR(IF(C12&gt;$D$9,””,OFFSET(Database!$A$1,D12,3)),"")</f>
        <v>Universitas Putra Indonesia Yptk Padang</v>
      </c>
      <c r="I12" s="79"/>
      <c r="J12" s="59" t="str">
        <f t="array" aca="1" ref="J12" ca="1">IFERROR(IF(C12&gt;$D$9,””,OFFSET(Database!$A$1,D12,4)),"")</f>
        <v>Penelitian Dosen Pemula</v>
      </c>
      <c r="K12" s="59" t="str">
        <f t="array" aca="1" ref="K12" ca="1">IFERROR(IF(C12&gt;$D$9,””,OFFSET(Database!$A$1,D12,5)),"")</f>
        <v>Yustina Rada</v>
      </c>
      <c r="L12" s="59" t="str">
        <f t="array" aca="1" ref="L12" ca="1">IFERROR(IF(C12&gt;$D$9,””,OFFSET(Database!$A$1,D12,6)),"")</f>
        <v>Agnes Tuti rumiati</v>
      </c>
      <c r="M12" s="59" t="str">
        <f t="array" aca="1" ref="M12" ca="1">IFERROR(IF(C12&gt;$D$9,””,OFFSET(Database!$A$1,D12,7)),"")</f>
        <v>Irhamah</v>
      </c>
      <c r="N12" s="59" t="str">
        <f t="array" aca="1" ref="N12" ca="1">IFERROR(IF(C12&gt;$D$9,””,OFFSET(Database!$A$1,D12,8)),"")</f>
        <v>8722066604</v>
      </c>
      <c r="O12" s="77" t="str">
        <f ca="1">IFERROR(IF(C12&gt;$D$9,””,OFFSET(Database!$A$1,D12,9)),"")</f>
        <v>Analisis Pengaruh Npl. Nim. Ldr Terhadap Tingkat Profitabilitas Dan Return Saham</v>
      </c>
      <c r="P12" s="78"/>
      <c r="Q12" s="78"/>
      <c r="R12" s="79"/>
      <c r="S12" s="59">
        <f t="array" aca="1" ref="S12" ca="1">IFERROR(IF(C12&gt;$D$9,””,OFFSET(Database!$A$1,D12,10)),"")</f>
        <v>1</v>
      </c>
      <c r="T12" s="59" t="str">
        <f t="array" aca="1" ref="T12" ca="1">IFERROR(IF(C12&gt;$D$9,””,OFFSET(Database!$A$1,D12,11)),"")</f>
        <v>Lanjutan</v>
      </c>
      <c r="U12" s="59">
        <f t="array" aca="1" ref="U12" ca="1">IFERROR(IF(C12&gt;$D$9,””,OFFSET(Database!$A$1,D12,12)),"")</f>
        <v>2018</v>
      </c>
      <c r="V12" s="60">
        <f t="array" aca="1" ref="V12" ca="1">IFERROR(IF(C12&gt;$D$9,””,OFFSET(Database!$A$1,D12,13)),"")</f>
        <v>59000000</v>
      </c>
      <c r="W12" s="6"/>
      <c r="X12" s="10"/>
    </row>
    <row r="13" spans="2:24" ht="50.1" customHeight="1" x14ac:dyDescent="0.25">
      <c r="B13" s="21"/>
      <c r="C13" s="19">
        <f>C12+1</f>
        <v>3</v>
      </c>
      <c r="D13" s="19">
        <f t="array" aca="1" ref="D13" ca="1">IF(C13&gt;$D$9,"",SMALL(IF(ISERROR(SEARCH($I$8,OFFSET(Database!$A$1,1,$C$10,$D$8,1),1)),"",ROW(OFFSET(Penelitian!$A$1,1,$C$10,$D$8,1))),C13)-1)</f>
        <v>3</v>
      </c>
      <c r="E13" s="11"/>
      <c r="F13" s="44" t="str">
        <f t="array" aca="1" ref="F13" ca="1">IFERROR(IF(C13&gt;$D$9,””,OFFSET(Database!$A$1,D13,1)),"")</f>
        <v>Penelitian</v>
      </c>
      <c r="G13" s="59" t="str">
        <f t="array" aca="1" ref="G13" ca="1">IFERROR(IF(C13&gt;$D$9,””,OFFSET(Database!$A$1,D13,2)),"")</f>
        <v>LLDIKTI WILAYAH I</v>
      </c>
      <c r="H13" s="77" t="str">
        <f ca="1">IFERROR(IF(C13&gt;$D$9,””,OFFSET(Database!$A$1,D13,3)),"")</f>
        <v>Universitas Bhayangkara Jakarta Raya</v>
      </c>
      <c r="I13" s="79"/>
      <c r="J13" s="59" t="str">
        <f t="array" aca="1" ref="J13" ca="1">IFERROR(IF(C13&gt;$D$9,””,OFFSET(Database!$A$1,D13,4)),"")</f>
        <v>Penelitian Dosen Pemula</v>
      </c>
      <c r="K13" s="59" t="str">
        <f t="array" aca="1" ref="K13" ca="1">IFERROR(IF(C13&gt;$D$9,””,OFFSET(Database!$A$1,D13,5)),"")</f>
        <v>Lucien Pahala Sitanggang</v>
      </c>
      <c r="L13" s="59" t="str">
        <f t="array" aca="1" ref="L13" ca="1">IFERROR(IF(C13&gt;$D$9,””,OFFSET(Database!$A$1,D13,6)),"")</f>
        <v>Adatul Mukaromah</v>
      </c>
      <c r="M13" s="59" t="str">
        <f t="array" aca="1" ref="M13" ca="1">IFERROR(IF(C13&gt;$D$9,””,OFFSET(Database!$A$1,D13,7)),"")</f>
        <v>Adatul Mukaromah</v>
      </c>
      <c r="N13" s="59" t="str">
        <f t="array" aca="1" ref="N13" ca="1">IFERROR(IF(C13&gt;$D$9,””,OFFSET(Database!$A$1,D13,8)),"")</f>
        <v>6121108903</v>
      </c>
      <c r="O13" s="77" t="str">
        <f ca="1">IFERROR(IF(C13&gt;$D$9,””,OFFSET(Database!$A$1,D13,9)),"")</f>
        <v>Model Matematika Epidemiologi Guillain-Barre Syndrome(Gbs) Dengan Tingkat Kejadi</v>
      </c>
      <c r="P13" s="78"/>
      <c r="Q13" s="78"/>
      <c r="R13" s="79"/>
      <c r="S13" s="59">
        <f t="array" aca="1" ref="S13" ca="1">IFERROR(IF(C13&gt;$D$9,””,OFFSET(Database!$A$1,D13,10)),"")</f>
        <v>1</v>
      </c>
      <c r="T13" s="59" t="str">
        <f t="array" aca="1" ref="T13" ca="1">IFERROR(IF(C13&gt;$D$9,””,OFFSET(Database!$A$1,D13,11)),"")</f>
        <v>Baru</v>
      </c>
      <c r="U13" s="59">
        <f t="array" aca="1" ref="U13" ca="1">IFERROR(IF(C13&gt;$D$9,””,OFFSET(Database!$A$1,D13,12)),"")</f>
        <v>2019</v>
      </c>
      <c r="V13" s="60">
        <f t="array" aca="1" ref="V13" ca="1">IFERROR(IF(C13&gt;$D$9,””,OFFSET(Database!$A$1,D13,13)),"")</f>
        <v>72000000</v>
      </c>
      <c r="W13" s="6"/>
      <c r="X13" s="10"/>
    </row>
    <row r="14" spans="2:24" ht="50.1" customHeight="1" x14ac:dyDescent="0.25">
      <c r="B14" s="21"/>
      <c r="C14" s="19">
        <f>C13+1</f>
        <v>4</v>
      </c>
      <c r="D14" s="19">
        <f t="array" aca="1" ref="D14" ca="1">IF(C14&gt;$D$9,"",SMALL(IF(ISERROR(SEARCH($I$8,OFFSET(Database!$A$1,1,$C$10,$D$8,1),1)),"",ROW(OFFSET(Penelitian!$A$1,1,$C$10,$D$8,1))),C14)-1)</f>
        <v>4</v>
      </c>
      <c r="E14" s="11"/>
      <c r="F14" s="44" t="str">
        <f t="array" aca="1" ref="F14" ca="1">IFERROR(IF(C14&gt;$D$9,””,OFFSET(Database!$A$1,D14,1)),"")</f>
        <v>Penelitian</v>
      </c>
      <c r="G14" s="59" t="str">
        <f t="array" aca="1" ref="G14" ca="1">IFERROR(IF(C14&gt;$D$9,””,OFFSET(Database!$A$1,D14,2)),"")</f>
        <v>LLDIKTI WILAYAH VII</v>
      </c>
      <c r="H14" s="77" t="str">
        <f ca="1">IFERROR(IF(C14&gt;$D$9,””,OFFSET(Database!$A$1,D14,3)),"")</f>
        <v>STMIK Primakara</v>
      </c>
      <c r="I14" s="79"/>
      <c r="J14" s="59" t="str">
        <f t="array" aca="1" ref="J14" ca="1">IFERROR(IF(C14&gt;$D$9,””,OFFSET(Database!$A$1,D14,4)),"")</f>
        <v>Penelitian Dosen Pemula</v>
      </c>
      <c r="K14" s="59" t="str">
        <f t="array" aca="1" ref="K14" ca="1">IFERROR(IF(C14&gt;$D$9,””,OFFSET(Database!$A$1,D14,5)),"")</f>
        <v>Sri Wahyuni</v>
      </c>
      <c r="L14" s="59" t="str">
        <f t="array" aca="1" ref="L14" ca="1">IFERROR(IF(C14&gt;$D$9,””,OFFSET(Database!$A$1,D14,6)),"")</f>
        <v>Wibawati</v>
      </c>
      <c r="M14" s="59" t="str">
        <f t="array" aca="1" ref="M14" ca="1">IFERROR(IF(C14&gt;$D$9,””,OFFSET(Database!$A$1,D14,7)),"")</f>
        <v>Nur Iriawan</v>
      </c>
      <c r="N14" s="59" t="str">
        <f t="array" aca="1" ref="N14" ca="1">IFERROR(IF(C14&gt;$D$9,””,OFFSET(Database!$A$1,D14,8)),"")</f>
        <v>3009038604</v>
      </c>
      <c r="O14" s="77" t="str">
        <f ca="1">IFERROR(IF(C14&gt;$D$9,””,OFFSET(Database!$A$1,D14,9)),"")</f>
        <v>Pembuatan Sensor Suhu Semen Sapi Cu/Ni Dengan Metode Elektroplating Berbantuan M</v>
      </c>
      <c r="P14" s="78"/>
      <c r="Q14" s="78"/>
      <c r="R14" s="79"/>
      <c r="S14" s="59">
        <f t="array" aca="1" ref="S14" ca="1">IFERROR(IF(C14&gt;$D$9,””,OFFSET(Database!$A$1,D14,10)),"")</f>
        <v>1</v>
      </c>
      <c r="T14" s="59" t="str">
        <f t="array" aca="1" ref="T14" ca="1">IFERROR(IF(C14&gt;$D$9,””,OFFSET(Database!$A$1,D14,11)),"")</f>
        <v>Baru</v>
      </c>
      <c r="U14" s="59">
        <f t="array" aca="1" ref="U14" ca="1">IFERROR(IF(C14&gt;$D$9,””,OFFSET(Database!$A$1,D14,12)),"")</f>
        <v>2017</v>
      </c>
      <c r="V14" s="60">
        <f t="array" aca="1" ref="V14" ca="1">IFERROR(IF(C14&gt;$D$9,””,OFFSET(Database!$A$1,D14,13)),"")</f>
        <v>62000000</v>
      </c>
      <c r="W14" s="6"/>
      <c r="X14" s="10"/>
    </row>
    <row r="15" spans="2:24" ht="50.1" customHeight="1" thickBot="1" x14ac:dyDescent="0.3">
      <c r="B15" s="21"/>
      <c r="C15" s="19">
        <f>C14+1</f>
        <v>5</v>
      </c>
      <c r="D15" s="19">
        <f t="array" aca="1" ref="D15" ca="1">IF(C15&gt;$D$9,"",SMALL(IF(ISERROR(SEARCH($I$8,OFFSET(Database!$A$1,1,$C$10,$D$8,1),1)),"",ROW(OFFSET(Penelitian!$A$1,1,$C$10,$D$8,1))),C15)-1)</f>
        <v>5</v>
      </c>
      <c r="E15" s="11"/>
      <c r="F15" s="45" t="str">
        <f t="array" aca="1" ref="F15" ca="1">IFERROR(IF(C15&gt;$D$9,””,OFFSET(Database!$A$1,D15,1)),"")</f>
        <v>Penelitian</v>
      </c>
      <c r="G15" s="61" t="str">
        <f t="array" aca="1" ref="G15" ca="1">IFERROR(IF(C15&gt;$D$9,””,OFFSET(Database!$A$1,D15,2)),"")</f>
        <v>LLDIKTI WILAYAH IV</v>
      </c>
      <c r="H15" s="80" t="str">
        <f ca="1">IFERROR(IF(C15&gt;$D$9,””,OFFSET(Database!$A$1,D15,3)),"")</f>
        <v>Universitas Islam Riau</v>
      </c>
      <c r="I15" s="82"/>
      <c r="J15" s="61" t="str">
        <f t="array" aca="1" ref="J15" ca="1">IFERROR(IF(C15&gt;$D$9,””,OFFSET(Database!$A$1,D15,4)),"")</f>
        <v>Penelitian Kerjasama Antar Perguruan Tinggi</v>
      </c>
      <c r="K15" s="61" t="str">
        <f t="array" aca="1" ref="K15" ca="1">IFERROR(IF(C15&gt;$D$9,””,OFFSET(Database!$A$1,D15,5)),"")</f>
        <v>Yeldi S. Adel</v>
      </c>
      <c r="L15" s="61" t="str">
        <f t="array" aca="1" ref="L15" ca="1">IFERROR(IF(C15&gt;$D$9,””,OFFSET(Database!$A$1,D15,6)),"")</f>
        <v>Muhammad Mashuri</v>
      </c>
      <c r="M15" s="61" t="str">
        <f t="array" aca="1" ref="M15" ca="1">IFERROR(IF(C15&gt;$D$9,””,OFFSET(Database!$A$1,D15,7)),"")</f>
        <v>Jerry Dwi T Purnomo</v>
      </c>
      <c r="N15" s="61" t="str">
        <f t="array" aca="1" ref="N15" ca="1">IFERROR(IF(C15&gt;$D$9,””,OFFSET(Database!$A$1,D15,8)),"")</f>
        <v>3617087503</v>
      </c>
      <c r="O15" s="80" t="str">
        <f ca="1">IFERROR(IF(C15&gt;$D$9,””,OFFSET(Database!$A$1,D15,9)),"")</f>
        <v>Pola Komunikasi Dan Adaptasi Budaya Mahasiswa Asing Di Universitas Prima Indones</v>
      </c>
      <c r="P15" s="81"/>
      <c r="Q15" s="81"/>
      <c r="R15" s="82"/>
      <c r="S15" s="61">
        <f t="array" aca="1" ref="S15" ca="1">IFERROR(IF(C15&gt;$D$9,””,OFFSET(Database!$A$1,D15,10)),"")</f>
        <v>1</v>
      </c>
      <c r="T15" s="61" t="str">
        <f t="array" aca="1" ref="T15" ca="1">IFERROR(IF(C15&gt;$D$9,””,OFFSET(Database!$A$1,D15,11)),"")</f>
        <v>Lanjutan</v>
      </c>
      <c r="U15" s="61">
        <f t="array" aca="1" ref="U15" ca="1">IFERROR(IF(C15&gt;$D$9,””,OFFSET(Database!$A$1,D15,12)),"")</f>
        <v>2017</v>
      </c>
      <c r="V15" s="62">
        <f t="array" aca="1" ref="V15" ca="1">IFERROR(IF(C15&gt;$D$9,””,OFFSET(Database!$A$1,D15,13)),"")</f>
        <v>62000000</v>
      </c>
      <c r="W15" s="6"/>
      <c r="X15" s="10"/>
    </row>
    <row r="16" spans="2:24" ht="15.75" thickBot="1" x14ac:dyDescent="0.3">
      <c r="B16" s="21"/>
      <c r="C16" s="19"/>
      <c r="D16" s="19"/>
      <c r="E16" s="23"/>
      <c r="F16" s="8"/>
      <c r="G16" s="8"/>
      <c r="H16" s="8"/>
      <c r="I16" s="8"/>
      <c r="J16" s="8"/>
      <c r="K16" s="8"/>
      <c r="L16" s="8"/>
      <c r="M16" s="8"/>
      <c r="N16" s="8"/>
      <c r="O16" s="8"/>
      <c r="P16" s="8"/>
      <c r="Q16" s="8"/>
      <c r="R16" s="8"/>
      <c r="S16" s="8"/>
      <c r="T16" s="8"/>
      <c r="U16" s="8"/>
      <c r="V16" s="8"/>
      <c r="W16" s="9"/>
      <c r="X16" s="10"/>
    </row>
    <row r="17" spans="2:24" ht="15" x14ac:dyDescent="0.25">
      <c r="B17" s="21"/>
      <c r="C17" s="19"/>
      <c r="D17" s="19"/>
      <c r="E17" s="10"/>
      <c r="F17" s="10"/>
      <c r="G17" s="10"/>
      <c r="H17" s="10"/>
      <c r="I17" s="10"/>
      <c r="J17" s="10"/>
      <c r="K17" s="10"/>
      <c r="L17" s="10"/>
      <c r="M17" s="10"/>
      <c r="N17" s="10"/>
      <c r="O17" s="10"/>
      <c r="P17" s="10"/>
      <c r="Q17" s="10"/>
      <c r="R17" s="10"/>
      <c r="S17" s="10"/>
      <c r="T17" s="10"/>
      <c r="U17" s="10"/>
      <c r="V17" s="10"/>
      <c r="W17" s="10"/>
      <c r="X17" s="10"/>
    </row>
  </sheetData>
  <mergeCells count="22">
    <mergeCell ref="E8:F8"/>
    <mergeCell ref="E2:K6"/>
    <mergeCell ref="L2:M6"/>
    <mergeCell ref="N2:O6"/>
    <mergeCell ref="P2:Q6"/>
    <mergeCell ref="I8:J8"/>
    <mergeCell ref="G8:H8"/>
    <mergeCell ref="O14:R14"/>
    <mergeCell ref="O15:R15"/>
    <mergeCell ref="H15:I15"/>
    <mergeCell ref="H14:I14"/>
    <mergeCell ref="V2:W6"/>
    <mergeCell ref="R2:S6"/>
    <mergeCell ref="T2:U6"/>
    <mergeCell ref="O10:R10"/>
    <mergeCell ref="H10:I10"/>
    <mergeCell ref="H11:I11"/>
    <mergeCell ref="H12:I12"/>
    <mergeCell ref="H13:I13"/>
    <mergeCell ref="O11:R11"/>
    <mergeCell ref="O13:R13"/>
    <mergeCell ref="O12:R12"/>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1271" r:id="rId5" name="Scroll Bar 7">
              <controlPr defaultSize="0" autoPict="0">
                <anchor moveWithCells="1">
                  <from>
                    <xdr:col>22</xdr:col>
                    <xdr:colOff>9525</xdr:colOff>
                    <xdr:row>9</xdr:row>
                    <xdr:rowOff>0</xdr:rowOff>
                  </from>
                  <to>
                    <xdr:col>22</xdr:col>
                    <xdr:colOff>333375</xdr:colOff>
                    <xdr:row>14</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Database!$B$1:$N$1</xm:f>
          </x14:formula1>
          <xm:sqref>G8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er"/>
  <dimension ref="A1:V31"/>
  <sheetViews>
    <sheetView showGridLines="0" showRowColHeaders="0"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10"/>
      <c r="S1" s="10"/>
      <c r="T1" s="10"/>
      <c r="U1" s="10"/>
      <c r="V1" s="10"/>
    </row>
    <row r="2" spans="2:22" x14ac:dyDescent="0.25">
      <c r="B2" s="10"/>
      <c r="C2" s="90"/>
      <c r="D2" s="91"/>
      <c r="E2" s="91"/>
      <c r="F2" s="91"/>
      <c r="G2" s="91"/>
      <c r="H2" s="91"/>
      <c r="I2" s="91"/>
      <c r="J2" s="69" t="s">
        <v>648</v>
      </c>
      <c r="K2" s="69"/>
      <c r="L2" s="94" t="s">
        <v>647</v>
      </c>
      <c r="M2" s="94"/>
      <c r="N2" s="69" t="s">
        <v>641</v>
      </c>
      <c r="O2" s="69"/>
      <c r="P2" s="69" t="s">
        <v>642</v>
      </c>
      <c r="Q2" s="69"/>
      <c r="R2" s="69" t="s">
        <v>643</v>
      </c>
      <c r="S2" s="69"/>
      <c r="T2" s="69" t="s">
        <v>644</v>
      </c>
      <c r="U2" s="70"/>
      <c r="V2" s="10"/>
    </row>
    <row r="3" spans="2:22" x14ac:dyDescent="0.25">
      <c r="B3" s="10"/>
      <c r="C3" s="92"/>
      <c r="D3" s="93"/>
      <c r="E3" s="93"/>
      <c r="F3" s="93"/>
      <c r="G3" s="93"/>
      <c r="H3" s="93"/>
      <c r="I3" s="93"/>
      <c r="J3" s="71"/>
      <c r="K3" s="71"/>
      <c r="L3" s="95"/>
      <c r="M3" s="95"/>
      <c r="N3" s="71"/>
      <c r="O3" s="71"/>
      <c r="P3" s="71"/>
      <c r="Q3" s="71"/>
      <c r="R3" s="71"/>
      <c r="S3" s="71"/>
      <c r="T3" s="71"/>
      <c r="U3" s="72"/>
      <c r="V3" s="10"/>
    </row>
    <row r="4" spans="2:22" x14ac:dyDescent="0.25">
      <c r="B4" s="10"/>
      <c r="C4" s="92"/>
      <c r="D4" s="93"/>
      <c r="E4" s="93"/>
      <c r="F4" s="93"/>
      <c r="G4" s="93"/>
      <c r="H4" s="93"/>
      <c r="I4" s="93"/>
      <c r="J4" s="71"/>
      <c r="K4" s="71"/>
      <c r="L4" s="95"/>
      <c r="M4" s="95"/>
      <c r="N4" s="71"/>
      <c r="O4" s="71"/>
      <c r="P4" s="71"/>
      <c r="Q4" s="71"/>
      <c r="R4" s="71"/>
      <c r="S4" s="71"/>
      <c r="T4" s="71"/>
      <c r="U4" s="72"/>
      <c r="V4" s="10"/>
    </row>
    <row r="5" spans="2:22" x14ac:dyDescent="0.25">
      <c r="B5" s="10"/>
      <c r="C5" s="92"/>
      <c r="D5" s="93"/>
      <c r="E5" s="93"/>
      <c r="F5" s="93"/>
      <c r="G5" s="93"/>
      <c r="H5" s="93"/>
      <c r="I5" s="93"/>
      <c r="J5" s="71"/>
      <c r="K5" s="71"/>
      <c r="L5" s="95"/>
      <c r="M5" s="95"/>
      <c r="N5" s="71"/>
      <c r="O5" s="71"/>
      <c r="P5" s="71"/>
      <c r="Q5" s="71"/>
      <c r="R5" s="71"/>
      <c r="S5" s="71"/>
      <c r="T5" s="71"/>
      <c r="U5" s="72"/>
      <c r="V5" s="10"/>
    </row>
    <row r="6" spans="2:22" x14ac:dyDescent="0.25">
      <c r="B6" s="10"/>
      <c r="C6" s="92"/>
      <c r="D6" s="93"/>
      <c r="E6" s="93"/>
      <c r="F6" s="93"/>
      <c r="G6" s="93"/>
      <c r="H6" s="93"/>
      <c r="I6" s="93"/>
      <c r="J6" s="71"/>
      <c r="K6" s="71"/>
      <c r="L6" s="95"/>
      <c r="M6" s="95"/>
      <c r="N6" s="71"/>
      <c r="O6" s="71"/>
      <c r="P6" s="71"/>
      <c r="Q6" s="71"/>
      <c r="R6" s="71"/>
      <c r="S6" s="71"/>
      <c r="T6" s="71"/>
      <c r="U6" s="72"/>
      <c r="V6" s="10"/>
    </row>
    <row r="7" spans="2:22" x14ac:dyDescent="0.25">
      <c r="B7" s="10"/>
      <c r="C7" s="4"/>
      <c r="D7" s="54"/>
      <c r="E7" s="54"/>
      <c r="F7" s="54"/>
      <c r="G7" s="54"/>
      <c r="H7" s="54"/>
      <c r="I7" s="54"/>
      <c r="J7" s="54"/>
      <c r="K7" s="54"/>
      <c r="L7" s="54"/>
      <c r="M7" s="54"/>
      <c r="N7" s="54"/>
      <c r="O7" s="54"/>
      <c r="P7" s="54"/>
      <c r="Q7" s="54"/>
      <c r="R7" s="54"/>
      <c r="S7" s="54"/>
      <c r="T7" s="54"/>
      <c r="U7" s="6"/>
      <c r="V7" s="10"/>
    </row>
    <row r="8" spans="2:22" x14ac:dyDescent="0.25">
      <c r="B8" s="10"/>
      <c r="C8" s="4"/>
      <c r="D8" s="54"/>
      <c r="E8" s="54"/>
      <c r="F8" s="54"/>
      <c r="G8" s="54"/>
      <c r="H8" s="54"/>
      <c r="I8" s="54"/>
      <c r="J8" s="54"/>
      <c r="K8" s="54"/>
      <c r="L8" s="54"/>
      <c r="M8" s="54"/>
      <c r="N8" s="54"/>
      <c r="O8" s="54"/>
      <c r="P8" s="54"/>
      <c r="Q8" s="54"/>
      <c r="R8" s="54"/>
      <c r="S8" s="54"/>
      <c r="T8" s="54"/>
      <c r="U8" s="6"/>
      <c r="V8" s="10"/>
    </row>
    <row r="9" spans="2:22" x14ac:dyDescent="0.25">
      <c r="B9" s="10"/>
      <c r="C9" s="4"/>
      <c r="D9" s="54"/>
      <c r="E9" s="54"/>
      <c r="F9" s="54"/>
      <c r="G9" s="54"/>
      <c r="H9" s="54"/>
      <c r="I9" s="54"/>
      <c r="J9" s="54"/>
      <c r="K9" s="54"/>
      <c r="L9" s="54"/>
      <c r="M9" s="54"/>
      <c r="N9" s="54"/>
      <c r="O9" s="54"/>
      <c r="P9" s="54"/>
      <c r="Q9" s="54"/>
      <c r="R9" s="54"/>
      <c r="S9" s="54"/>
      <c r="T9" s="54"/>
      <c r="U9" s="6"/>
      <c r="V9" s="10"/>
    </row>
    <row r="10" spans="2:22" x14ac:dyDescent="0.25">
      <c r="B10" s="10"/>
      <c r="C10" s="4"/>
      <c r="D10" s="54"/>
      <c r="E10" s="54"/>
      <c r="F10" s="54"/>
      <c r="G10" s="54"/>
      <c r="H10" s="54"/>
      <c r="I10" s="54"/>
      <c r="J10" s="54"/>
      <c r="K10" s="54"/>
      <c r="L10" s="54"/>
      <c r="M10" s="54"/>
      <c r="N10" s="54"/>
      <c r="O10" s="54"/>
      <c r="P10" s="54"/>
      <c r="Q10" s="54"/>
      <c r="R10" s="54"/>
      <c r="S10" s="54"/>
      <c r="T10" s="54"/>
      <c r="U10" s="6"/>
      <c r="V10" s="10"/>
    </row>
    <row r="11" spans="2:22" x14ac:dyDescent="0.25">
      <c r="B11" s="10"/>
      <c r="C11" s="4"/>
      <c r="D11" s="54"/>
      <c r="E11" s="54"/>
      <c r="F11" s="54"/>
      <c r="G11" s="54"/>
      <c r="H11" s="54"/>
      <c r="I11" s="54"/>
      <c r="J11" s="54"/>
      <c r="K11" s="54"/>
      <c r="L11" s="54"/>
      <c r="M11" s="54"/>
      <c r="N11" s="54"/>
      <c r="O11" s="54"/>
      <c r="P11" s="54"/>
      <c r="Q11" s="54"/>
      <c r="R11" s="54"/>
      <c r="S11" s="54"/>
      <c r="T11" s="54"/>
      <c r="U11" s="6"/>
      <c r="V11" s="10"/>
    </row>
    <row r="12" spans="2:22" x14ac:dyDescent="0.25">
      <c r="B12" s="10"/>
      <c r="C12" s="4"/>
      <c r="D12" s="54"/>
      <c r="E12" s="54"/>
      <c r="F12" s="54"/>
      <c r="G12" s="54"/>
      <c r="H12" s="54"/>
      <c r="I12" s="54"/>
      <c r="J12" s="54"/>
      <c r="K12" s="54"/>
      <c r="L12" s="54"/>
      <c r="M12" s="54"/>
      <c r="N12" s="54"/>
      <c r="O12" s="54"/>
      <c r="P12" s="54"/>
      <c r="Q12" s="54"/>
      <c r="R12" s="54"/>
      <c r="S12" s="54"/>
      <c r="T12" s="54"/>
      <c r="U12" s="6"/>
      <c r="V12" s="10"/>
    </row>
    <row r="13" spans="2:22" x14ac:dyDescent="0.25">
      <c r="B13" s="10"/>
      <c r="C13" s="4"/>
      <c r="D13" s="54"/>
      <c r="E13" s="54"/>
      <c r="F13" s="54"/>
      <c r="G13" s="54"/>
      <c r="H13" s="54"/>
      <c r="I13" s="54"/>
      <c r="J13" s="54"/>
      <c r="K13" s="54"/>
      <c r="L13" s="54"/>
      <c r="M13" s="54"/>
      <c r="N13" s="54"/>
      <c r="O13" s="54"/>
      <c r="P13" s="54"/>
      <c r="Q13" s="54"/>
      <c r="R13" s="54"/>
      <c r="S13" s="54"/>
      <c r="T13" s="54"/>
      <c r="U13" s="6"/>
      <c r="V13" s="10"/>
    </row>
    <row r="14" spans="2:22" x14ac:dyDescent="0.25">
      <c r="B14" s="10"/>
      <c r="C14" s="4"/>
      <c r="D14" s="54"/>
      <c r="E14" s="54"/>
      <c r="F14" s="54"/>
      <c r="G14" s="54"/>
      <c r="H14" s="54"/>
      <c r="I14" s="54"/>
      <c r="J14" s="54"/>
      <c r="K14" s="54"/>
      <c r="L14" s="54"/>
      <c r="M14" s="54"/>
      <c r="N14" s="54"/>
      <c r="O14" s="54"/>
      <c r="P14" s="54"/>
      <c r="Q14" s="54"/>
      <c r="R14" s="54"/>
      <c r="S14" s="54"/>
      <c r="T14" s="54"/>
      <c r="U14" s="6"/>
      <c r="V14" s="10"/>
    </row>
    <row r="15" spans="2:22" x14ac:dyDescent="0.25">
      <c r="B15" s="10"/>
      <c r="C15" s="4"/>
      <c r="D15" s="54"/>
      <c r="E15" s="54"/>
      <c r="F15" s="54"/>
      <c r="G15" s="54"/>
      <c r="H15" s="54"/>
      <c r="I15" s="54"/>
      <c r="J15" s="54"/>
      <c r="K15" s="54"/>
      <c r="L15" s="54"/>
      <c r="M15" s="54"/>
      <c r="N15" s="54"/>
      <c r="O15" s="54"/>
      <c r="P15" s="54"/>
      <c r="Q15" s="54"/>
      <c r="R15" s="54"/>
      <c r="S15" s="54"/>
      <c r="T15" s="54"/>
      <c r="U15" s="6"/>
      <c r="V15" s="10"/>
    </row>
    <row r="16" spans="2:22" x14ac:dyDescent="0.25">
      <c r="B16" s="10"/>
      <c r="C16" s="4"/>
      <c r="D16" s="54"/>
      <c r="E16" s="54"/>
      <c r="F16" s="54"/>
      <c r="G16" s="54"/>
      <c r="H16" s="54"/>
      <c r="I16" s="54"/>
      <c r="J16" s="54"/>
      <c r="K16" s="54"/>
      <c r="L16" s="54"/>
      <c r="M16" s="54"/>
      <c r="N16" s="54"/>
      <c r="O16" s="54"/>
      <c r="P16" s="54"/>
      <c r="Q16" s="54"/>
      <c r="R16" s="54"/>
      <c r="S16" s="54"/>
      <c r="T16" s="54"/>
      <c r="U16" s="6"/>
      <c r="V16" s="10"/>
    </row>
    <row r="17" spans="2:22" x14ac:dyDescent="0.25">
      <c r="B17" s="10"/>
      <c r="C17" s="4"/>
      <c r="D17" s="54"/>
      <c r="E17" s="54"/>
      <c r="F17" s="54"/>
      <c r="G17" s="54"/>
      <c r="H17" s="54"/>
      <c r="I17" s="54"/>
      <c r="J17" s="54"/>
      <c r="K17" s="54"/>
      <c r="L17" s="54"/>
      <c r="M17" s="54"/>
      <c r="N17" s="54"/>
      <c r="O17" s="54"/>
      <c r="P17" s="54"/>
      <c r="Q17" s="54"/>
      <c r="R17" s="54"/>
      <c r="S17" s="54"/>
      <c r="T17" s="54"/>
      <c r="U17" s="6"/>
      <c r="V17" s="10"/>
    </row>
    <row r="18" spans="2:22" x14ac:dyDescent="0.25">
      <c r="B18" s="10"/>
      <c r="C18" s="4"/>
      <c r="D18" s="54"/>
      <c r="E18" s="54"/>
      <c r="F18" s="54"/>
      <c r="G18" s="54"/>
      <c r="H18" s="54"/>
      <c r="I18" s="54"/>
      <c r="J18" s="54"/>
      <c r="K18" s="54"/>
      <c r="L18" s="54"/>
      <c r="M18" s="54"/>
      <c r="N18" s="54"/>
      <c r="O18" s="54"/>
      <c r="P18" s="54"/>
      <c r="Q18" s="54"/>
      <c r="R18" s="54"/>
      <c r="S18" s="54"/>
      <c r="T18" s="54"/>
      <c r="U18" s="6"/>
      <c r="V18" s="10"/>
    </row>
    <row r="19" spans="2:22" x14ac:dyDescent="0.25">
      <c r="B19" s="10"/>
      <c r="C19" s="4"/>
      <c r="D19" s="54"/>
      <c r="E19" s="54"/>
      <c r="F19" s="54"/>
      <c r="G19" s="54"/>
      <c r="H19" s="54"/>
      <c r="I19" s="54"/>
      <c r="J19" s="54"/>
      <c r="K19" s="54"/>
      <c r="L19" s="54"/>
      <c r="M19" s="54"/>
      <c r="N19" s="54"/>
      <c r="O19" s="54"/>
      <c r="P19" s="54"/>
      <c r="Q19" s="54"/>
      <c r="R19" s="54"/>
      <c r="S19" s="54"/>
      <c r="T19" s="54"/>
      <c r="U19" s="6"/>
      <c r="V19" s="10"/>
    </row>
    <row r="20" spans="2:22" x14ac:dyDescent="0.25">
      <c r="B20" s="10"/>
      <c r="C20" s="4"/>
      <c r="D20" s="54"/>
      <c r="E20" s="54"/>
      <c r="F20" s="54"/>
      <c r="G20" s="54"/>
      <c r="H20" s="54"/>
      <c r="I20" s="54"/>
      <c r="J20" s="54"/>
      <c r="K20" s="54"/>
      <c r="L20" s="54"/>
      <c r="M20" s="54"/>
      <c r="N20" s="54"/>
      <c r="O20" s="54"/>
      <c r="P20" s="54"/>
      <c r="Q20" s="54"/>
      <c r="R20" s="54"/>
      <c r="S20" s="54"/>
      <c r="T20" s="54"/>
      <c r="U20" s="6"/>
      <c r="V20" s="10"/>
    </row>
    <row r="21" spans="2:22" x14ac:dyDescent="0.25">
      <c r="B21" s="10"/>
      <c r="C21" s="4"/>
      <c r="D21" s="54"/>
      <c r="E21" s="54"/>
      <c r="F21" s="54"/>
      <c r="G21" s="54"/>
      <c r="H21" s="54"/>
      <c r="I21" s="54"/>
      <c r="J21" s="54"/>
      <c r="K21" s="54"/>
      <c r="L21" s="54"/>
      <c r="M21" s="54"/>
      <c r="N21" s="54"/>
      <c r="O21" s="54"/>
      <c r="P21" s="54"/>
      <c r="Q21" s="54"/>
      <c r="R21" s="54"/>
      <c r="S21" s="54"/>
      <c r="T21" s="54"/>
      <c r="U21" s="6"/>
      <c r="V21" s="10"/>
    </row>
    <row r="22" spans="2:22" x14ac:dyDescent="0.25">
      <c r="B22" s="10"/>
      <c r="C22" s="4"/>
      <c r="D22" s="54"/>
      <c r="E22" s="54"/>
      <c r="F22" s="54"/>
      <c r="G22" s="54"/>
      <c r="H22" s="54"/>
      <c r="I22" s="54"/>
      <c r="J22" s="54"/>
      <c r="K22" s="54"/>
      <c r="L22" s="54"/>
      <c r="M22" s="54"/>
      <c r="N22" s="54"/>
      <c r="O22" s="54"/>
      <c r="P22" s="54"/>
      <c r="Q22" s="54"/>
      <c r="R22" s="54"/>
      <c r="S22" s="54"/>
      <c r="T22" s="54"/>
      <c r="U22" s="6"/>
      <c r="V22" s="10"/>
    </row>
    <row r="23" spans="2:22" x14ac:dyDescent="0.25">
      <c r="B23" s="10"/>
      <c r="C23" s="4"/>
      <c r="D23" s="54"/>
      <c r="E23" s="54"/>
      <c r="F23" s="54"/>
      <c r="G23" s="54"/>
      <c r="H23" s="54"/>
      <c r="I23" s="54"/>
      <c r="J23" s="54"/>
      <c r="K23" s="54"/>
      <c r="L23" s="54"/>
      <c r="M23" s="54"/>
      <c r="N23" s="54"/>
      <c r="O23" s="54"/>
      <c r="P23" s="54"/>
      <c r="Q23" s="54"/>
      <c r="R23" s="54"/>
      <c r="S23" s="54"/>
      <c r="T23" s="54"/>
      <c r="U23" s="6"/>
      <c r="V23" s="10"/>
    </row>
    <row r="24" spans="2:22" x14ac:dyDescent="0.25">
      <c r="B24" s="10"/>
      <c r="C24" s="4"/>
      <c r="D24" s="54"/>
      <c r="E24" s="54"/>
      <c r="F24" s="54"/>
      <c r="G24" s="54"/>
      <c r="H24" s="54"/>
      <c r="I24" s="54"/>
      <c r="J24" s="54"/>
      <c r="K24" s="54"/>
      <c r="L24" s="54"/>
      <c r="M24" s="54"/>
      <c r="N24" s="54"/>
      <c r="O24" s="54"/>
      <c r="P24" s="54"/>
      <c r="Q24" s="54"/>
      <c r="R24" s="54"/>
      <c r="S24" s="54"/>
      <c r="T24" s="54"/>
      <c r="U24" s="6"/>
      <c r="V24" s="10"/>
    </row>
    <row r="25" spans="2:22" x14ac:dyDescent="0.25">
      <c r="B25" s="10"/>
      <c r="C25" s="4"/>
      <c r="D25" s="54"/>
      <c r="E25" s="54"/>
      <c r="F25" s="54"/>
      <c r="G25" s="54"/>
      <c r="H25" s="54"/>
      <c r="I25" s="54"/>
      <c r="J25" s="54"/>
      <c r="K25" s="54"/>
      <c r="L25" s="54"/>
      <c r="M25" s="54"/>
      <c r="N25" s="54"/>
      <c r="O25" s="54"/>
      <c r="P25" s="54"/>
      <c r="Q25" s="54"/>
      <c r="R25" s="54"/>
      <c r="S25" s="54"/>
      <c r="T25" s="54"/>
      <c r="U25" s="6"/>
      <c r="V25" s="10"/>
    </row>
    <row r="26" spans="2:22" x14ac:dyDescent="0.25">
      <c r="B26" s="10"/>
      <c r="C26" s="4"/>
      <c r="D26" s="54"/>
      <c r="E26" s="54"/>
      <c r="F26" s="54"/>
      <c r="G26" s="54"/>
      <c r="H26" s="54"/>
      <c r="I26" s="54"/>
      <c r="J26" s="54"/>
      <c r="K26" s="54"/>
      <c r="L26" s="54"/>
      <c r="M26" s="54"/>
      <c r="N26" s="54"/>
      <c r="O26" s="54"/>
      <c r="P26" s="54"/>
      <c r="Q26" s="54"/>
      <c r="R26" s="54"/>
      <c r="S26" s="54"/>
      <c r="T26" s="54"/>
      <c r="U26" s="6"/>
      <c r="V26" s="10"/>
    </row>
    <row r="27" spans="2:22" x14ac:dyDescent="0.25">
      <c r="B27" s="10"/>
      <c r="C27" s="4"/>
      <c r="D27" s="54"/>
      <c r="E27" s="54"/>
      <c r="F27" s="54"/>
      <c r="G27" s="54"/>
      <c r="H27" s="54"/>
      <c r="I27" s="54"/>
      <c r="J27" s="54"/>
      <c r="K27" s="54"/>
      <c r="L27" s="54"/>
      <c r="M27" s="54"/>
      <c r="N27" s="54"/>
      <c r="O27" s="54"/>
      <c r="P27" s="54"/>
      <c r="Q27" s="54"/>
      <c r="R27" s="54"/>
      <c r="S27" s="54"/>
      <c r="T27" s="54"/>
      <c r="U27" s="6"/>
      <c r="V27" s="10"/>
    </row>
    <row r="28" spans="2:22" x14ac:dyDescent="0.25">
      <c r="B28" s="10"/>
      <c r="C28" s="4"/>
      <c r="D28" s="54"/>
      <c r="E28" s="54"/>
      <c r="F28" s="54"/>
      <c r="G28" s="54"/>
      <c r="H28" s="54"/>
      <c r="I28" s="54"/>
      <c r="J28" s="54"/>
      <c r="K28" s="54"/>
      <c r="L28" s="54"/>
      <c r="M28" s="54"/>
      <c r="N28" s="54"/>
      <c r="O28" s="54"/>
      <c r="P28" s="54"/>
      <c r="Q28" s="54"/>
      <c r="R28" s="54"/>
      <c r="S28" s="54"/>
      <c r="T28" s="54"/>
      <c r="U28" s="6"/>
      <c r="V28" s="10"/>
    </row>
    <row r="29" spans="2:22" x14ac:dyDescent="0.25">
      <c r="B29" s="10"/>
      <c r="C29" s="4"/>
      <c r="D29" s="54"/>
      <c r="E29" s="54"/>
      <c r="F29" s="54"/>
      <c r="G29" s="54"/>
      <c r="H29" s="54"/>
      <c r="I29" s="54"/>
      <c r="J29" s="54"/>
      <c r="K29" s="54"/>
      <c r="L29" s="54"/>
      <c r="M29" s="54"/>
      <c r="N29" s="54"/>
      <c r="O29" s="54"/>
      <c r="P29" s="54"/>
      <c r="Q29" s="54"/>
      <c r="R29" s="54"/>
      <c r="S29" s="54"/>
      <c r="T29" s="54"/>
      <c r="U29" s="6"/>
      <c r="V29" s="10"/>
    </row>
    <row r="30" spans="2:22" ht="15.75" thickBot="1" x14ac:dyDescent="0.3">
      <c r="B30" s="10"/>
      <c r="C30" s="7"/>
      <c r="D30" s="8"/>
      <c r="E30" s="8"/>
      <c r="F30" s="8"/>
      <c r="G30" s="8"/>
      <c r="H30" s="8"/>
      <c r="I30" s="8"/>
      <c r="J30" s="8"/>
      <c r="K30" s="8"/>
      <c r="L30" s="8"/>
      <c r="M30" s="8"/>
      <c r="N30" s="8"/>
      <c r="O30" s="8"/>
      <c r="P30" s="8"/>
      <c r="Q30" s="8"/>
      <c r="R30" s="8"/>
      <c r="S30" s="8"/>
      <c r="T30" s="8"/>
      <c r="U30" s="9"/>
      <c r="V30" s="10"/>
    </row>
    <row r="31" spans="2:22" x14ac:dyDescent="0.25">
      <c r="B31" s="10"/>
      <c r="C31" s="10"/>
      <c r="D31" s="10"/>
      <c r="E31" s="10"/>
      <c r="F31" s="10"/>
      <c r="G31" s="10"/>
      <c r="H31" s="10"/>
      <c r="I31" s="10"/>
      <c r="J31" s="10"/>
      <c r="K31" s="10"/>
      <c r="L31" s="10"/>
      <c r="M31" s="10"/>
      <c r="N31" s="10"/>
      <c r="O31" s="10"/>
      <c r="P31" s="10"/>
      <c r="Q31" s="10"/>
      <c r="R31" s="10"/>
      <c r="S31" s="10"/>
      <c r="T31" s="10"/>
      <c r="U31" s="10"/>
      <c r="V31" s="10"/>
    </row>
  </sheetData>
  <mergeCells count="7">
    <mergeCell ref="T2:U6"/>
    <mergeCell ref="C2:I6"/>
    <mergeCell ref="J2:K6"/>
    <mergeCell ref="L2:M6"/>
    <mergeCell ref="N2:O6"/>
    <mergeCell ref="P2:Q6"/>
    <mergeCell ref="R2:S6"/>
  </mergeCells>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en"/>
  <dimension ref="A1:V31"/>
  <sheetViews>
    <sheetView showGridLines="0" showRowColHeaders="0"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10"/>
      <c r="S1" s="10"/>
      <c r="T1" s="10"/>
      <c r="U1" s="10"/>
      <c r="V1" s="10"/>
    </row>
    <row r="2" spans="2:22" x14ac:dyDescent="0.25">
      <c r="B2" s="10"/>
      <c r="C2" s="90"/>
      <c r="D2" s="91"/>
      <c r="E2" s="91"/>
      <c r="F2" s="91"/>
      <c r="G2" s="91"/>
      <c r="H2" s="91"/>
      <c r="I2" s="91"/>
      <c r="J2" s="69" t="s">
        <v>648</v>
      </c>
      <c r="K2" s="69"/>
      <c r="L2" s="69" t="s">
        <v>647</v>
      </c>
      <c r="M2" s="69"/>
      <c r="N2" s="94" t="s">
        <v>641</v>
      </c>
      <c r="O2" s="94"/>
      <c r="P2" s="69" t="s">
        <v>642</v>
      </c>
      <c r="Q2" s="69"/>
      <c r="R2" s="69" t="s">
        <v>643</v>
      </c>
      <c r="S2" s="69"/>
      <c r="T2" s="69" t="s">
        <v>644</v>
      </c>
      <c r="U2" s="70"/>
      <c r="V2" s="10"/>
    </row>
    <row r="3" spans="2:22" x14ac:dyDescent="0.25">
      <c r="B3" s="10"/>
      <c r="C3" s="92"/>
      <c r="D3" s="93"/>
      <c r="E3" s="93"/>
      <c r="F3" s="93"/>
      <c r="G3" s="93"/>
      <c r="H3" s="93"/>
      <c r="I3" s="93"/>
      <c r="J3" s="71"/>
      <c r="K3" s="71"/>
      <c r="L3" s="71"/>
      <c r="M3" s="71"/>
      <c r="N3" s="95"/>
      <c r="O3" s="95"/>
      <c r="P3" s="71"/>
      <c r="Q3" s="71"/>
      <c r="R3" s="71"/>
      <c r="S3" s="71"/>
      <c r="T3" s="71"/>
      <c r="U3" s="72"/>
      <c r="V3" s="10"/>
    </row>
    <row r="4" spans="2:22" x14ac:dyDescent="0.25">
      <c r="B4" s="10"/>
      <c r="C4" s="92"/>
      <c r="D4" s="93"/>
      <c r="E4" s="93"/>
      <c r="F4" s="93"/>
      <c r="G4" s="93"/>
      <c r="H4" s="93"/>
      <c r="I4" s="93"/>
      <c r="J4" s="71"/>
      <c r="K4" s="71"/>
      <c r="L4" s="71"/>
      <c r="M4" s="71"/>
      <c r="N4" s="95"/>
      <c r="O4" s="95"/>
      <c r="P4" s="71"/>
      <c r="Q4" s="71"/>
      <c r="R4" s="71"/>
      <c r="S4" s="71"/>
      <c r="T4" s="71"/>
      <c r="U4" s="72"/>
      <c r="V4" s="10"/>
    </row>
    <row r="5" spans="2:22" x14ac:dyDescent="0.25">
      <c r="B5" s="10"/>
      <c r="C5" s="92"/>
      <c r="D5" s="93"/>
      <c r="E5" s="93"/>
      <c r="F5" s="93"/>
      <c r="G5" s="93"/>
      <c r="H5" s="93"/>
      <c r="I5" s="93"/>
      <c r="J5" s="71"/>
      <c r="K5" s="71"/>
      <c r="L5" s="71"/>
      <c r="M5" s="71"/>
      <c r="N5" s="95"/>
      <c r="O5" s="95"/>
      <c r="P5" s="71"/>
      <c r="Q5" s="71"/>
      <c r="R5" s="71"/>
      <c r="S5" s="71"/>
      <c r="T5" s="71"/>
      <c r="U5" s="72"/>
      <c r="V5" s="10"/>
    </row>
    <row r="6" spans="2:22" x14ac:dyDescent="0.25">
      <c r="B6" s="10"/>
      <c r="C6" s="92"/>
      <c r="D6" s="93"/>
      <c r="E6" s="93"/>
      <c r="F6" s="93"/>
      <c r="G6" s="93"/>
      <c r="H6" s="93"/>
      <c r="I6" s="93"/>
      <c r="J6" s="71"/>
      <c r="K6" s="71"/>
      <c r="L6" s="71"/>
      <c r="M6" s="71"/>
      <c r="N6" s="95"/>
      <c r="O6" s="95"/>
      <c r="P6" s="71"/>
      <c r="Q6" s="71"/>
      <c r="R6" s="71"/>
      <c r="S6" s="71"/>
      <c r="T6" s="71"/>
      <c r="U6" s="72"/>
      <c r="V6" s="10"/>
    </row>
    <row r="7" spans="2:22" ht="15.75" thickBot="1" x14ac:dyDescent="0.3">
      <c r="B7" s="10"/>
      <c r="C7" s="4"/>
      <c r="D7" s="54"/>
      <c r="E7" s="54"/>
      <c r="F7" s="54"/>
      <c r="G7" s="54"/>
      <c r="H7" s="54"/>
      <c r="I7" s="54"/>
      <c r="J7" s="54"/>
      <c r="K7" s="54"/>
      <c r="L7" s="54"/>
      <c r="M7" s="54"/>
      <c r="N7" s="54"/>
      <c r="O7" s="54"/>
      <c r="P7" s="54"/>
      <c r="Q7" s="54"/>
      <c r="R7" s="54"/>
      <c r="S7" s="54"/>
      <c r="T7" s="54"/>
      <c r="U7" s="6"/>
      <c r="V7" s="10"/>
    </row>
    <row r="8" spans="2:22" ht="15.75" thickBot="1" x14ac:dyDescent="0.3">
      <c r="B8" s="10"/>
      <c r="C8" s="4"/>
      <c r="D8" s="37" t="s">
        <v>862</v>
      </c>
      <c r="E8" s="38"/>
      <c r="F8" s="38"/>
      <c r="G8" s="39"/>
      <c r="H8" s="54"/>
      <c r="I8" s="54"/>
      <c r="J8" s="54"/>
      <c r="K8" s="54"/>
      <c r="L8" s="54"/>
      <c r="M8" s="54"/>
      <c r="N8" s="54"/>
      <c r="O8" s="54"/>
      <c r="P8" s="54"/>
      <c r="Q8" s="54"/>
      <c r="R8" s="54"/>
      <c r="S8" s="105" t="s">
        <v>877</v>
      </c>
      <c r="T8" s="105"/>
      <c r="U8" s="6"/>
      <c r="V8" s="10"/>
    </row>
    <row r="9" spans="2:22" ht="15.75" thickBot="1" x14ac:dyDescent="0.3">
      <c r="B9" s="19"/>
      <c r="C9" s="4"/>
      <c r="D9" s="54"/>
      <c r="E9" s="54"/>
      <c r="F9" s="54"/>
      <c r="G9" s="54"/>
      <c r="H9" s="54"/>
      <c r="I9" s="54"/>
      <c r="J9" s="54"/>
      <c r="K9" s="54"/>
      <c r="L9" s="54"/>
      <c r="M9" s="54"/>
      <c r="N9" s="54"/>
      <c r="O9" s="54"/>
      <c r="P9" s="54"/>
      <c r="Q9" s="54"/>
      <c r="R9" s="54"/>
      <c r="S9" s="54"/>
      <c r="T9" s="54"/>
      <c r="U9" s="6"/>
      <c r="V9" s="10"/>
    </row>
    <row r="10" spans="2:22" ht="51" x14ac:dyDescent="0.25">
      <c r="B10" s="19"/>
      <c r="C10" s="4"/>
      <c r="D10" s="40" t="s">
        <v>756</v>
      </c>
      <c r="E10" s="57" t="s">
        <v>2</v>
      </c>
      <c r="F10" s="100" t="s">
        <v>757</v>
      </c>
      <c r="G10" s="101"/>
      <c r="H10" s="57" t="s">
        <v>652</v>
      </c>
      <c r="I10" s="57" t="s">
        <v>758</v>
      </c>
      <c r="J10" s="57" t="s">
        <v>4</v>
      </c>
      <c r="K10" s="57" t="s">
        <v>5</v>
      </c>
      <c r="L10" s="57" t="s">
        <v>653</v>
      </c>
      <c r="M10" s="102" t="s">
        <v>760</v>
      </c>
      <c r="N10" s="103"/>
      <c r="O10" s="103"/>
      <c r="P10" s="104"/>
      <c r="Q10" s="57" t="s">
        <v>761</v>
      </c>
      <c r="R10" s="57" t="s">
        <v>762</v>
      </c>
      <c r="S10" s="57" t="s">
        <v>646</v>
      </c>
      <c r="T10" s="58" t="s">
        <v>763</v>
      </c>
      <c r="U10" s="6"/>
      <c r="V10" s="10"/>
    </row>
    <row r="11" spans="2:22" ht="38.25" customHeight="1" x14ac:dyDescent="0.25">
      <c r="B11" s="19">
        <v>1</v>
      </c>
      <c r="C11" s="4"/>
      <c r="D11" s="44" t="str">
        <f t="array" aca="1" ref="D11" ca="1">IFERROR(IF(A11&gt;$D$9,””,OFFSET(Database!$A$1,B11,1)),"")</f>
        <v>Penelitian</v>
      </c>
      <c r="E11" s="59" t="str">
        <f t="array" aca="1" ref="E11" ca="1">IFERROR(IF(A11&gt;$D$9,””,OFFSET(Database!$A$1,B11,2)),"")</f>
        <v>LLDIKTI WILAYAH IV</v>
      </c>
      <c r="F11" s="77" t="str">
        <f ca="1">IFERROR(IF(A11&gt;$D$9,””,OFFSET(Database!$A$1,B11,3)),"")</f>
        <v>Sekolah Tinggi Ilmu Kesehatan Makassar</v>
      </c>
      <c r="G11" s="79"/>
      <c r="H11" s="59" t="str">
        <f t="array" aca="1" ref="H11" ca="1">IFERROR(IF(A11&gt;$D$9,””,OFFSET(Database!$A$1,B11,4)),"")</f>
        <v>Penelitian Dosen Pemula</v>
      </c>
      <c r="I11" s="59" t="str">
        <f t="array" aca="1" ref="I11" ca="1">IFERROR(IF(A11&gt;$D$9,””,OFFSET(Database!$A$1,B11,5)),"")</f>
        <v>Ketut Putra Sedana</v>
      </c>
      <c r="J11" s="59" t="str">
        <f t="array" aca="1" ref="J11" ca="1">IFERROR(IF(A11&gt;$D$9,””,OFFSET(Database!$A$1,B11,6)),"")</f>
        <v>Ismaini Zain</v>
      </c>
      <c r="K11" s="59" t="str">
        <f t="array" aca="1" ref="K11" ca="1">IFERROR(IF(A11&gt;$D$9,””,OFFSET(Database!$A$1,B11,7)),"")</f>
        <v>Agnes Tuti rumiati</v>
      </c>
      <c r="L11" s="59" t="str">
        <f t="array" aca="1" ref="L11" ca="1">IFERROR(IF(A11&gt;$D$9,””,OFFSET(Database!$A$1,B11,8)),"")</f>
        <v>3630017201</v>
      </c>
      <c r="M11" s="77" t="str">
        <f ca="1">IFERROR(IF(A11&gt;$D$9,””,OFFSET(Database!$A$1,B11,9)),"")</f>
        <v xml:space="preserve">Analisis Cluster Dengan Complete Linkage Dan Ward’S Method Untuk Data Pelayanan </v>
      </c>
      <c r="N11" s="78"/>
      <c r="O11" s="78"/>
      <c r="P11" s="79"/>
      <c r="Q11" s="59">
        <f t="array" aca="1" ref="Q11" ca="1">IFERROR(IF(A11&gt;$D$9,””,OFFSET(Database!$A$1,B11,10)),"")</f>
        <v>1</v>
      </c>
      <c r="R11" s="59" t="str">
        <f t="array" aca="1" ref="R11" ca="1">IFERROR(IF(A11&gt;$D$9,””,OFFSET(Database!$A$1,B11,11)),"")</f>
        <v>Lanjutan</v>
      </c>
      <c r="S11" s="59">
        <f t="array" aca="1" ref="S11" ca="1">IFERROR(IF(A11&gt;$D$9,””,OFFSET(Database!$A$1,B11,12)),"")</f>
        <v>2017</v>
      </c>
      <c r="T11" s="60">
        <f t="array" aca="1" ref="T11" ca="1">IFERROR(IF(A11&gt;$D$9,””,OFFSET(Database!$A$1,B11,13)),"")</f>
        <v>59000000</v>
      </c>
      <c r="U11" s="6"/>
      <c r="V11" s="10"/>
    </row>
    <row r="12" spans="2:22" ht="38.25" customHeight="1" x14ac:dyDescent="0.25">
      <c r="B12" s="19">
        <f>B11+1</f>
        <v>2</v>
      </c>
      <c r="C12" s="4"/>
      <c r="D12" s="44" t="str">
        <f t="array" aca="1" ref="D12" ca="1">IFERROR(IF(A12&gt;$D$9,””,OFFSET(Database!$A$1,B12,1)),"")</f>
        <v>Penelitian</v>
      </c>
      <c r="E12" s="59" t="str">
        <f t="array" aca="1" ref="E12" ca="1">IFERROR(IF(A12&gt;$D$9,””,OFFSET(Database!$A$1,B12,2)),"")</f>
        <v>LLDIKTI WILAYAH VII</v>
      </c>
      <c r="F12" s="77" t="str">
        <f ca="1">IFERROR(IF(A12&gt;$D$9,””,OFFSET(Database!$A$1,B12,3)),"")</f>
        <v>Universitas Putra Indonesia Yptk Padang</v>
      </c>
      <c r="G12" s="79"/>
      <c r="H12" s="59" t="str">
        <f t="array" aca="1" ref="H12" ca="1">IFERROR(IF(A12&gt;$D$9,””,OFFSET(Database!$A$1,B12,4)),"")</f>
        <v>Penelitian Dosen Pemula</v>
      </c>
      <c r="I12" s="59" t="str">
        <f t="array" aca="1" ref="I12" ca="1">IFERROR(IF(A12&gt;$D$9,””,OFFSET(Database!$A$1,B12,5)),"")</f>
        <v>Yustina Rada</v>
      </c>
      <c r="J12" s="59" t="str">
        <f t="array" aca="1" ref="J12" ca="1">IFERROR(IF(A12&gt;$D$9,””,OFFSET(Database!$A$1,B12,6)),"")</f>
        <v>Agnes Tuti rumiati</v>
      </c>
      <c r="K12" s="59" t="str">
        <f t="array" aca="1" ref="K12" ca="1">IFERROR(IF(A12&gt;$D$9,””,OFFSET(Database!$A$1,B12,7)),"")</f>
        <v>Irhamah</v>
      </c>
      <c r="L12" s="59" t="str">
        <f t="array" aca="1" ref="L12" ca="1">IFERROR(IF(A12&gt;$D$9,””,OFFSET(Database!$A$1,B12,8)),"")</f>
        <v>8722066604</v>
      </c>
      <c r="M12" s="77" t="str">
        <f ca="1">IFERROR(IF(A12&gt;$D$9,””,OFFSET(Database!$A$1,B12,9)),"")</f>
        <v>Analisis Pengaruh Npl. Nim. Ldr Terhadap Tingkat Profitabilitas Dan Return Saham</v>
      </c>
      <c r="N12" s="78"/>
      <c r="O12" s="78"/>
      <c r="P12" s="79"/>
      <c r="Q12" s="59">
        <f t="array" aca="1" ref="Q12" ca="1">IFERROR(IF(A12&gt;$D$9,””,OFFSET(Database!$A$1,B12,10)),"")</f>
        <v>1</v>
      </c>
      <c r="R12" s="59" t="str">
        <f t="array" aca="1" ref="R12" ca="1">IFERROR(IF(A12&gt;$D$9,””,OFFSET(Database!$A$1,B12,11)),"")</f>
        <v>Lanjutan</v>
      </c>
      <c r="S12" s="59">
        <f t="array" aca="1" ref="S12" ca="1">IFERROR(IF(A12&gt;$D$9,””,OFFSET(Database!$A$1,B12,12)),"")</f>
        <v>2018</v>
      </c>
      <c r="T12" s="60">
        <f t="array" aca="1" ref="T12" ca="1">IFERROR(IF(A12&gt;$D$9,””,OFFSET(Database!$A$1,B12,13)),"")</f>
        <v>59000000</v>
      </c>
      <c r="U12" s="6"/>
      <c r="V12" s="10"/>
    </row>
    <row r="13" spans="2:22" ht="51" x14ac:dyDescent="0.25">
      <c r="B13" s="19">
        <f>B12+1</f>
        <v>3</v>
      </c>
      <c r="C13" s="4"/>
      <c r="D13" s="44" t="str">
        <f t="array" aca="1" ref="D13" ca="1">IFERROR(IF(A13&gt;$D$9,””,OFFSET(Database!$A$1,B13,1)),"")</f>
        <v>Penelitian</v>
      </c>
      <c r="E13" s="59" t="str">
        <f t="array" aca="1" ref="E13" ca="1">IFERROR(IF(A13&gt;$D$9,””,OFFSET(Database!$A$1,B13,2)),"")</f>
        <v>LLDIKTI WILAYAH I</v>
      </c>
      <c r="F13" s="77" t="str">
        <f ca="1">IFERROR(IF(A13&gt;$D$9,””,OFFSET(Database!$A$1,B13,3)),"")</f>
        <v>Universitas Bhayangkara Jakarta Raya</v>
      </c>
      <c r="G13" s="79"/>
      <c r="H13" s="59" t="str">
        <f t="array" aca="1" ref="H13" ca="1">IFERROR(IF(A13&gt;$D$9,””,OFFSET(Database!$A$1,B13,4)),"")</f>
        <v>Penelitian Dosen Pemula</v>
      </c>
      <c r="I13" s="59" t="str">
        <f t="array" aca="1" ref="I13" ca="1">IFERROR(IF(A13&gt;$D$9,””,OFFSET(Database!$A$1,B13,5)),"")</f>
        <v>Lucien Pahala Sitanggang</v>
      </c>
      <c r="J13" s="59" t="str">
        <f t="array" aca="1" ref="J13" ca="1">IFERROR(IF(A13&gt;$D$9,””,OFFSET(Database!$A$1,B13,6)),"")</f>
        <v>Adatul Mukaromah</v>
      </c>
      <c r="K13" s="59" t="str">
        <f t="array" aca="1" ref="K13" ca="1">IFERROR(IF(A13&gt;$D$9,””,OFFSET(Database!$A$1,B13,7)),"")</f>
        <v>Adatul Mukaromah</v>
      </c>
      <c r="L13" s="59" t="str">
        <f t="array" aca="1" ref="L13" ca="1">IFERROR(IF(A13&gt;$D$9,””,OFFSET(Database!$A$1,B13,8)),"")</f>
        <v>6121108903</v>
      </c>
      <c r="M13" s="77" t="str">
        <f ca="1">IFERROR(IF(A13&gt;$D$9,””,OFFSET(Database!$A$1,B13,9)),"")</f>
        <v>Model Matematika Epidemiologi Guillain-Barre Syndrome(Gbs) Dengan Tingkat Kejadi</v>
      </c>
      <c r="N13" s="78"/>
      <c r="O13" s="78"/>
      <c r="P13" s="79"/>
      <c r="Q13" s="59">
        <f t="array" aca="1" ref="Q13" ca="1">IFERROR(IF(A13&gt;$D$9,””,OFFSET(Database!$A$1,B13,10)),"")</f>
        <v>1</v>
      </c>
      <c r="R13" s="59" t="str">
        <f t="array" aca="1" ref="R13" ca="1">IFERROR(IF(A13&gt;$D$9,””,OFFSET(Database!$A$1,B13,11)),"")</f>
        <v>Baru</v>
      </c>
      <c r="S13" s="59">
        <f t="array" aca="1" ref="S13" ca="1">IFERROR(IF(A13&gt;$D$9,””,OFFSET(Database!$A$1,B13,12)),"")</f>
        <v>2019</v>
      </c>
      <c r="T13" s="60">
        <f t="array" aca="1" ref="T13" ca="1">IFERROR(IF(A13&gt;$D$9,””,OFFSET(Database!$A$1,B13,13)),"")</f>
        <v>72000000</v>
      </c>
      <c r="U13" s="6"/>
      <c r="V13" s="10"/>
    </row>
    <row r="14" spans="2:22" ht="38.25" customHeight="1" x14ac:dyDescent="0.25">
      <c r="B14" s="19">
        <f>B13+1</f>
        <v>4</v>
      </c>
      <c r="C14" s="4"/>
      <c r="D14" s="44" t="str">
        <f t="array" aca="1" ref="D14" ca="1">IFERROR(IF(A14&gt;$D$9,””,OFFSET(Database!$A$1,B14,1)),"")</f>
        <v>Penelitian</v>
      </c>
      <c r="E14" s="59" t="str">
        <f t="array" aca="1" ref="E14" ca="1">IFERROR(IF(A14&gt;$D$9,””,OFFSET(Database!$A$1,B14,2)),"")</f>
        <v>LLDIKTI WILAYAH VII</v>
      </c>
      <c r="F14" s="77" t="str">
        <f ca="1">IFERROR(IF(A14&gt;$D$9,””,OFFSET(Database!$A$1,B14,3)),"")</f>
        <v>STMIK Primakara</v>
      </c>
      <c r="G14" s="79"/>
      <c r="H14" s="59" t="str">
        <f t="array" aca="1" ref="H14" ca="1">IFERROR(IF(A14&gt;$D$9,””,OFFSET(Database!$A$1,B14,4)),"")</f>
        <v>Penelitian Dosen Pemula</v>
      </c>
      <c r="I14" s="59" t="str">
        <f t="array" aca="1" ref="I14" ca="1">IFERROR(IF(A14&gt;$D$9,””,OFFSET(Database!$A$1,B14,5)),"")</f>
        <v>Sri Wahyuni</v>
      </c>
      <c r="J14" s="59" t="str">
        <f t="array" aca="1" ref="J14" ca="1">IFERROR(IF(A14&gt;$D$9,””,OFFSET(Database!$A$1,B14,6)),"")</f>
        <v>Wibawati</v>
      </c>
      <c r="K14" s="59" t="str">
        <f t="array" aca="1" ref="K14" ca="1">IFERROR(IF(A14&gt;$D$9,””,OFFSET(Database!$A$1,B14,7)),"")</f>
        <v>Nur Iriawan</v>
      </c>
      <c r="L14" s="59" t="str">
        <f t="array" aca="1" ref="L14" ca="1">IFERROR(IF(A14&gt;$D$9,””,OFFSET(Database!$A$1,B14,8)),"")</f>
        <v>3009038604</v>
      </c>
      <c r="M14" s="77" t="str">
        <f ca="1">IFERROR(IF(A14&gt;$D$9,””,OFFSET(Database!$A$1,B14,9)),"")</f>
        <v>Pembuatan Sensor Suhu Semen Sapi Cu/Ni Dengan Metode Elektroplating Berbantuan M</v>
      </c>
      <c r="N14" s="78"/>
      <c r="O14" s="78"/>
      <c r="P14" s="79"/>
      <c r="Q14" s="59">
        <f t="array" aca="1" ref="Q14" ca="1">IFERROR(IF(A14&gt;$D$9,””,OFFSET(Database!$A$1,B14,10)),"")</f>
        <v>1</v>
      </c>
      <c r="R14" s="59" t="str">
        <f t="array" aca="1" ref="R14" ca="1">IFERROR(IF(A14&gt;$D$9,””,OFFSET(Database!$A$1,B14,11)),"")</f>
        <v>Baru</v>
      </c>
      <c r="S14" s="59">
        <f t="array" aca="1" ref="S14" ca="1">IFERROR(IF(A14&gt;$D$9,””,OFFSET(Database!$A$1,B14,12)),"")</f>
        <v>2017</v>
      </c>
      <c r="T14" s="60">
        <f t="array" aca="1" ref="T14" ca="1">IFERROR(IF(A14&gt;$D$9,””,OFFSET(Database!$A$1,B14,13)),"")</f>
        <v>62000000</v>
      </c>
      <c r="U14" s="6"/>
      <c r="V14" s="10"/>
    </row>
    <row r="15" spans="2:22" ht="76.5" customHeight="1" thickBot="1" x14ac:dyDescent="0.3">
      <c r="B15" s="19">
        <f>B14+1</f>
        <v>5</v>
      </c>
      <c r="C15" s="4"/>
      <c r="D15" s="45" t="str">
        <f t="array" aca="1" ref="D15" ca="1">IFERROR(IF(A15&gt;$D$9,””,OFFSET(Database!$A$1,B15,1)),"")</f>
        <v>Penelitian</v>
      </c>
      <c r="E15" s="61" t="str">
        <f t="array" aca="1" ref="E15" ca="1">IFERROR(IF(A15&gt;$D$9,””,OFFSET(Database!$A$1,B15,2)),"")</f>
        <v>LLDIKTI WILAYAH IV</v>
      </c>
      <c r="F15" s="80" t="str">
        <f ca="1">IFERROR(IF(A15&gt;$D$9,””,OFFSET(Database!$A$1,B15,3)),"")</f>
        <v>Universitas Islam Riau</v>
      </c>
      <c r="G15" s="82"/>
      <c r="H15" s="61" t="str">
        <f t="array" aca="1" ref="H15" ca="1">IFERROR(IF(A15&gt;$D$9,””,OFFSET(Database!$A$1,B15,4)),"")</f>
        <v>Penelitian Kerjasama Antar Perguruan Tinggi</v>
      </c>
      <c r="I15" s="61" t="str">
        <f t="array" aca="1" ref="I15" ca="1">IFERROR(IF(A15&gt;$D$9,””,OFFSET(Database!$A$1,B15,5)),"")</f>
        <v>Yeldi S. Adel</v>
      </c>
      <c r="J15" s="61" t="str">
        <f t="array" aca="1" ref="J15" ca="1">IFERROR(IF(A15&gt;$D$9,””,OFFSET(Database!$A$1,B15,6)),"")</f>
        <v>Muhammad Mashuri</v>
      </c>
      <c r="K15" s="61" t="str">
        <f t="array" aca="1" ref="K15" ca="1">IFERROR(IF(A15&gt;$D$9,””,OFFSET(Database!$A$1,B15,7)),"")</f>
        <v>Jerry Dwi T Purnomo</v>
      </c>
      <c r="L15" s="61" t="str">
        <f t="array" aca="1" ref="L15" ca="1">IFERROR(IF(A15&gt;$D$9,””,OFFSET(Database!$A$1,B15,8)),"")</f>
        <v>3617087503</v>
      </c>
      <c r="M15" s="80" t="str">
        <f ca="1">IFERROR(IF(A15&gt;$D$9,””,OFFSET(Database!$A$1,B15,9)),"")</f>
        <v>Pola Komunikasi Dan Adaptasi Budaya Mahasiswa Asing Di Universitas Prima Indones</v>
      </c>
      <c r="N15" s="81"/>
      <c r="O15" s="81"/>
      <c r="P15" s="82"/>
      <c r="Q15" s="61">
        <f t="array" aca="1" ref="Q15" ca="1">IFERROR(IF(A15&gt;$D$9,””,OFFSET(Database!$A$1,B15,10)),"")</f>
        <v>1</v>
      </c>
      <c r="R15" s="61" t="str">
        <f t="array" aca="1" ref="R15" ca="1">IFERROR(IF(A15&gt;$D$9,””,OFFSET(Database!$A$1,B15,11)),"")</f>
        <v>Lanjutan</v>
      </c>
      <c r="S15" s="61">
        <f t="array" aca="1" ref="S15" ca="1">IFERROR(IF(A15&gt;$D$9,””,OFFSET(Database!$A$1,B15,12)),"")</f>
        <v>2017</v>
      </c>
      <c r="T15" s="62">
        <f t="array" aca="1" ref="T15" ca="1">IFERROR(IF(A15&gt;$D$9,””,OFFSET(Database!$A$1,B15,13)),"")</f>
        <v>62000000</v>
      </c>
      <c r="U15" s="6"/>
      <c r="V15" s="10"/>
    </row>
    <row r="16" spans="2:22" ht="15.75" thickBot="1" x14ac:dyDescent="0.3">
      <c r="B16" s="19"/>
      <c r="C16" s="7"/>
      <c r="D16" s="8"/>
      <c r="E16" s="8"/>
      <c r="F16" s="8"/>
      <c r="G16" s="8"/>
      <c r="H16" s="8"/>
      <c r="I16" s="8"/>
      <c r="J16" s="8"/>
      <c r="K16" s="8"/>
      <c r="L16" s="8"/>
      <c r="M16" s="8"/>
      <c r="N16" s="8"/>
      <c r="O16" s="8"/>
      <c r="P16" s="8"/>
      <c r="Q16" s="8"/>
      <c r="R16" s="8"/>
      <c r="S16" s="8"/>
      <c r="T16" s="8"/>
      <c r="U16" s="9"/>
      <c r="V16" s="10"/>
    </row>
    <row r="17" spans="2:22" x14ac:dyDescent="0.25">
      <c r="B17" s="10"/>
      <c r="C17" s="10"/>
      <c r="D17" s="10"/>
      <c r="E17" s="10"/>
      <c r="F17" s="10"/>
      <c r="G17" s="10"/>
      <c r="H17" s="10"/>
      <c r="I17" s="10"/>
      <c r="J17" s="10"/>
      <c r="K17" s="10"/>
      <c r="L17" s="10"/>
      <c r="M17" s="10"/>
      <c r="N17" s="10"/>
      <c r="O17" s="10"/>
      <c r="P17" s="10"/>
      <c r="Q17" s="10"/>
      <c r="R17" s="10"/>
      <c r="S17" s="10"/>
      <c r="T17" s="10"/>
      <c r="U17" s="10"/>
      <c r="V17" s="10"/>
    </row>
    <row r="18" spans="2:22" ht="15" hidden="1" customHeight="1" x14ac:dyDescent="0.25"/>
    <row r="19" spans="2:22" ht="15" hidden="1" customHeight="1" x14ac:dyDescent="0.25"/>
    <row r="20" spans="2:22" ht="15" hidden="1" customHeight="1" x14ac:dyDescent="0.25"/>
    <row r="21" spans="2:22" ht="15" hidden="1" customHeight="1" x14ac:dyDescent="0.25"/>
    <row r="22" spans="2:22" ht="15" hidden="1" customHeight="1" x14ac:dyDescent="0.25"/>
    <row r="23" spans="2:22" ht="15" hidden="1" customHeight="1" x14ac:dyDescent="0.25"/>
    <row r="24" spans="2:22" ht="15" hidden="1" customHeight="1" x14ac:dyDescent="0.25"/>
    <row r="25" spans="2:22" ht="15" hidden="1" customHeight="1" x14ac:dyDescent="0.25"/>
    <row r="26" spans="2:22" ht="15" hidden="1" customHeight="1" x14ac:dyDescent="0.25"/>
    <row r="27" spans="2:22" ht="15" hidden="1" customHeight="1" x14ac:dyDescent="0.25"/>
    <row r="28" spans="2:22" ht="15" hidden="1" customHeight="1" x14ac:dyDescent="0.25"/>
    <row r="29" spans="2:22" ht="15" hidden="1" customHeight="1" x14ac:dyDescent="0.25"/>
    <row r="30" spans="2:22" ht="15" hidden="1" customHeight="1" x14ac:dyDescent="0.25"/>
    <row r="31" spans="2:22" ht="15" hidden="1" customHeight="1" x14ac:dyDescent="0.25"/>
  </sheetData>
  <mergeCells count="20">
    <mergeCell ref="S8:T8"/>
    <mergeCell ref="T2:U6"/>
    <mergeCell ref="C2:I6"/>
    <mergeCell ref="J2:K6"/>
    <mergeCell ref="L2:M6"/>
    <mergeCell ref="N2:O6"/>
    <mergeCell ref="P2:Q6"/>
    <mergeCell ref="R2:S6"/>
    <mergeCell ref="F10:G10"/>
    <mergeCell ref="M10:P10"/>
    <mergeCell ref="F11:G11"/>
    <mergeCell ref="M11:P11"/>
    <mergeCell ref="F15:G15"/>
    <mergeCell ref="M15:P15"/>
    <mergeCell ref="F12:G12"/>
    <mergeCell ref="M12:P12"/>
    <mergeCell ref="F13:G13"/>
    <mergeCell ref="M13:P13"/>
    <mergeCell ref="F14:G14"/>
    <mergeCell ref="M14:P14"/>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3314" r:id="rId5" name="Scroll Bar 2">
              <controlPr defaultSize="0" autoPict="0">
                <anchor moveWithCells="1">
                  <from>
                    <xdr:col>20</xdr:col>
                    <xdr:colOff>9525</xdr:colOff>
                    <xdr:row>8</xdr:row>
                    <xdr:rowOff>180975</xdr:rowOff>
                  </from>
                  <to>
                    <xdr:col>20</xdr:col>
                    <xdr:colOff>333375</xdr:colOff>
                    <xdr:row>15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eng"/>
  <dimension ref="A1:V31"/>
  <sheetViews>
    <sheetView showGridLines="0" showRowColHeaders="0"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48"/>
      <c r="S1" s="48"/>
      <c r="T1" s="10"/>
      <c r="U1" s="10"/>
      <c r="V1" s="10"/>
    </row>
    <row r="2" spans="2:22" x14ac:dyDescent="0.25">
      <c r="B2" s="19"/>
      <c r="C2" s="90"/>
      <c r="D2" s="91"/>
      <c r="E2" s="91"/>
      <c r="F2" s="91"/>
      <c r="G2" s="91"/>
      <c r="H2" s="91"/>
      <c r="I2" s="91"/>
      <c r="J2" s="69" t="s">
        <v>648</v>
      </c>
      <c r="K2" s="69"/>
      <c r="L2" s="69" t="s">
        <v>647</v>
      </c>
      <c r="M2" s="69"/>
      <c r="N2" s="69" t="s">
        <v>641</v>
      </c>
      <c r="O2" s="69"/>
      <c r="P2" s="94" t="s">
        <v>642</v>
      </c>
      <c r="Q2" s="94"/>
      <c r="R2" s="69" t="s">
        <v>643</v>
      </c>
      <c r="S2" s="69"/>
      <c r="T2" s="69" t="s">
        <v>644</v>
      </c>
      <c r="U2" s="70"/>
      <c r="V2" s="10"/>
    </row>
    <row r="3" spans="2:22" x14ac:dyDescent="0.25">
      <c r="B3" s="19"/>
      <c r="C3" s="92"/>
      <c r="D3" s="93"/>
      <c r="E3" s="93"/>
      <c r="F3" s="93"/>
      <c r="G3" s="93"/>
      <c r="H3" s="93"/>
      <c r="I3" s="93"/>
      <c r="J3" s="71"/>
      <c r="K3" s="71"/>
      <c r="L3" s="71"/>
      <c r="M3" s="71"/>
      <c r="N3" s="71"/>
      <c r="O3" s="71"/>
      <c r="P3" s="95"/>
      <c r="Q3" s="95"/>
      <c r="R3" s="71"/>
      <c r="S3" s="71"/>
      <c r="T3" s="71"/>
      <c r="U3" s="72"/>
      <c r="V3" s="10"/>
    </row>
    <row r="4" spans="2:22" x14ac:dyDescent="0.25">
      <c r="B4" s="19"/>
      <c r="C4" s="92"/>
      <c r="D4" s="93"/>
      <c r="E4" s="93"/>
      <c r="F4" s="93"/>
      <c r="G4" s="93"/>
      <c r="H4" s="93"/>
      <c r="I4" s="93"/>
      <c r="J4" s="71"/>
      <c r="K4" s="71"/>
      <c r="L4" s="71"/>
      <c r="M4" s="71"/>
      <c r="N4" s="71"/>
      <c r="O4" s="71"/>
      <c r="P4" s="95"/>
      <c r="Q4" s="95"/>
      <c r="R4" s="71"/>
      <c r="S4" s="71"/>
      <c r="T4" s="71"/>
      <c r="U4" s="72"/>
      <c r="V4" s="10"/>
    </row>
    <row r="5" spans="2:22" x14ac:dyDescent="0.25">
      <c r="B5" s="19"/>
      <c r="C5" s="92"/>
      <c r="D5" s="93"/>
      <c r="E5" s="93"/>
      <c r="F5" s="93"/>
      <c r="G5" s="93"/>
      <c r="H5" s="93"/>
      <c r="I5" s="93"/>
      <c r="J5" s="71"/>
      <c r="K5" s="71"/>
      <c r="L5" s="71"/>
      <c r="M5" s="71"/>
      <c r="N5" s="71"/>
      <c r="O5" s="71"/>
      <c r="P5" s="95"/>
      <c r="Q5" s="95"/>
      <c r="R5" s="71"/>
      <c r="S5" s="71"/>
      <c r="T5" s="71"/>
      <c r="U5" s="72"/>
      <c r="V5" s="10"/>
    </row>
    <row r="6" spans="2:22" x14ac:dyDescent="0.25">
      <c r="B6" s="19"/>
      <c r="C6" s="92"/>
      <c r="D6" s="93"/>
      <c r="E6" s="93"/>
      <c r="F6" s="93"/>
      <c r="G6" s="93"/>
      <c r="H6" s="93"/>
      <c r="I6" s="93"/>
      <c r="J6" s="71"/>
      <c r="K6" s="71"/>
      <c r="L6" s="71"/>
      <c r="M6" s="71"/>
      <c r="N6" s="71"/>
      <c r="O6" s="71"/>
      <c r="P6" s="95"/>
      <c r="Q6" s="95"/>
      <c r="R6" s="71"/>
      <c r="S6" s="71"/>
      <c r="T6" s="71"/>
      <c r="U6" s="72"/>
      <c r="V6" s="10"/>
    </row>
    <row r="7" spans="2:22" ht="15.75" thickBot="1" x14ac:dyDescent="0.3">
      <c r="B7" s="19"/>
      <c r="C7" s="4"/>
      <c r="D7" s="54"/>
      <c r="E7" s="54"/>
      <c r="F7" s="54"/>
      <c r="G7" s="54"/>
      <c r="H7" s="54"/>
      <c r="I7" s="54"/>
      <c r="J7" s="54"/>
      <c r="K7" s="54"/>
      <c r="L7" s="54"/>
      <c r="M7" s="54"/>
      <c r="N7" s="54"/>
      <c r="O7" s="54"/>
      <c r="P7" s="54"/>
      <c r="Q7" s="54"/>
      <c r="R7" s="54"/>
      <c r="S7" s="54"/>
      <c r="T7" s="54"/>
      <c r="U7" s="6"/>
      <c r="V7" s="10"/>
    </row>
    <row r="8" spans="2:22" ht="15.75" thickBot="1" x14ac:dyDescent="0.3">
      <c r="B8" s="19"/>
      <c r="C8" s="4"/>
      <c r="D8" s="37" t="s">
        <v>863</v>
      </c>
      <c r="E8" s="38"/>
      <c r="F8" s="38"/>
      <c r="G8" s="38"/>
      <c r="H8" s="46"/>
      <c r="I8" s="47"/>
      <c r="J8" s="54"/>
      <c r="K8" s="54"/>
      <c r="L8" s="54"/>
      <c r="M8" s="54"/>
      <c r="N8" s="54"/>
      <c r="O8" s="54"/>
      <c r="P8" s="54"/>
      <c r="Q8" s="54"/>
      <c r="R8" s="105" t="s">
        <v>877</v>
      </c>
      <c r="S8" s="105"/>
      <c r="T8" s="54"/>
      <c r="U8" s="6"/>
      <c r="V8" s="10"/>
    </row>
    <row r="9" spans="2:22" ht="15.75" thickBot="1" x14ac:dyDescent="0.3">
      <c r="B9" s="19"/>
      <c r="C9" s="4"/>
      <c r="D9" s="54"/>
      <c r="E9" s="54"/>
      <c r="F9" s="54"/>
      <c r="G9" s="54"/>
      <c r="H9" s="54"/>
      <c r="I9" s="54"/>
      <c r="J9" s="54"/>
      <c r="K9" s="54"/>
      <c r="L9" s="54"/>
      <c r="M9" s="54"/>
      <c r="N9" s="54"/>
      <c r="O9" s="54"/>
      <c r="P9" s="54"/>
      <c r="Q9" s="54"/>
      <c r="R9" s="54"/>
      <c r="S9" s="54"/>
      <c r="T9" s="54"/>
      <c r="U9" s="6"/>
      <c r="V9" s="10"/>
    </row>
    <row r="10" spans="2:22" ht="38.25" x14ac:dyDescent="0.25">
      <c r="B10" s="19"/>
      <c r="C10" s="4"/>
      <c r="D10" s="40" t="s">
        <v>756</v>
      </c>
      <c r="E10" s="57" t="s">
        <v>2</v>
      </c>
      <c r="F10" s="100" t="s">
        <v>757</v>
      </c>
      <c r="G10" s="101"/>
      <c r="H10" s="57" t="s">
        <v>652</v>
      </c>
      <c r="I10" s="57" t="s">
        <v>758</v>
      </c>
      <c r="J10" s="57" t="s">
        <v>4</v>
      </c>
      <c r="K10" s="57" t="s">
        <v>5</v>
      </c>
      <c r="L10" s="57" t="s">
        <v>653</v>
      </c>
      <c r="M10" s="102" t="s">
        <v>760</v>
      </c>
      <c r="N10" s="103"/>
      <c r="O10" s="103"/>
      <c r="P10" s="104"/>
      <c r="Q10" s="57" t="s">
        <v>646</v>
      </c>
      <c r="R10" s="110" t="s">
        <v>763</v>
      </c>
      <c r="S10" s="111"/>
      <c r="T10" s="54"/>
      <c r="U10" s="6"/>
      <c r="V10" s="10"/>
    </row>
    <row r="11" spans="2:22" ht="51" x14ac:dyDescent="0.25">
      <c r="B11" s="19">
        <v>101</v>
      </c>
      <c r="C11" s="4"/>
      <c r="D11" s="44" t="str">
        <f t="array" aca="1" ref="D11" ca="1">IFERROR(IF(A11&gt;$D$9,””,OFFSET(Database!$A$1,B11,1)),"")</f>
        <v>Pengabdian Masyarakat</v>
      </c>
      <c r="E11" s="59" t="str">
        <f t="array" aca="1" ref="E11" ca="1">IFERROR(IF(A11&gt;$D$9,””,OFFSET(Database!$A$1,B11,2)),"")</f>
        <v>PTN</v>
      </c>
      <c r="F11" s="77" t="str">
        <f ca="1">IFERROR(IF(A11&gt;$D$9,””,OFFSET(Database!$A$1,B11,3)),"")</f>
        <v>STKIP Muhammadiyah Kotabumi</v>
      </c>
      <c r="G11" s="79"/>
      <c r="H11" s="59" t="str">
        <f t="array" aca="1" ref="H11" ca="1">IFERROR(IF(A11&gt;$D$9,””,OFFSET(Database!$A$1,B11,4)),"")</f>
        <v>PKM</v>
      </c>
      <c r="I11" s="59" t="str">
        <f t="array" aca="1" ref="I11" ca="1">IFERROR(IF(A11&gt;$D$9,””,OFFSET(Database!$A$1,B11,5)),"")</f>
        <v>I Putu Astawa</v>
      </c>
      <c r="J11" s="59" t="str">
        <f t="array" aca="1" ref="J11" ca="1">IFERROR(IF(A11&gt;$D$9,””,OFFSET(Database!$A$1,B11,6)),"")</f>
        <v>Vita Ratnasari</v>
      </c>
      <c r="K11" s="59" t="str">
        <f t="array" aca="1" ref="K11" ca="1">IFERROR(IF(A11&gt;$D$9,””,OFFSET(Database!$A$1,B11,7)),"")</f>
        <v>Shofi Andriani</v>
      </c>
      <c r="L11" s="59" t="str">
        <f t="array" aca="1" ref="L11" ca="1">IFERROR(IF(A11&gt;$D$9,””,OFFSET(Database!$A$1,B11,8)),"")</f>
        <v>7706047602</v>
      </c>
      <c r="M11" s="77" t="str">
        <f ca="1">IFERROR(IF(A11&gt;$D$9,””,OFFSET(Database!$A$1,B11,9)),"")</f>
        <v>PPPUD Kerajinan Tenun Sutera Sengkang Di Kabupaten Wajo</v>
      </c>
      <c r="N11" s="78"/>
      <c r="O11" s="78"/>
      <c r="P11" s="79"/>
      <c r="Q11" s="59">
        <f t="array" aca="1" ref="Q11" ca="1">IFERROR(IF(A11&gt;$D$9,””,OFFSET(Database!$A$1,B11,12)),"")</f>
        <v>2020</v>
      </c>
      <c r="R11" s="106">
        <f t="array" aca="1" ref="R11" ca="1">IFERROR(IF(A11&gt;$D$9,””,OFFSET(Database!$A$1,B11,13)),"")</f>
        <v>60000000</v>
      </c>
      <c r="S11" s="107"/>
      <c r="T11" s="54"/>
      <c r="U11" s="6"/>
      <c r="V11" s="10"/>
    </row>
    <row r="12" spans="2:22" ht="51" x14ac:dyDescent="0.25">
      <c r="B12" s="19">
        <f>B11+1</f>
        <v>102</v>
      </c>
      <c r="C12" s="4"/>
      <c r="D12" s="44" t="str">
        <f t="array" aca="1" ref="D12" ca="1">IFERROR(IF(A12&gt;$D$9,””,OFFSET(Database!$A$1,B12,1)),"")</f>
        <v>Pengabdian Masyarakat</v>
      </c>
      <c r="E12" s="59" t="str">
        <f t="array" aca="1" ref="E12" ca="1">IFERROR(IF(A12&gt;$D$9,””,OFFSET(Database!$A$1,B12,2)),"")</f>
        <v>LLDIKTI WILAYAH VIII</v>
      </c>
      <c r="F12" s="77" t="str">
        <f ca="1">IFERROR(IF(A12&gt;$D$9,””,OFFSET(Database!$A$1,B12,3)),"")</f>
        <v>Universitas Indraprasta Pgri</v>
      </c>
      <c r="G12" s="79"/>
      <c r="H12" s="59" t="str">
        <f t="array" aca="1" ref="H12" ca="1">IFERROR(IF(A12&gt;$D$9,””,OFFSET(Database!$A$1,B12,4)),"")</f>
        <v>PPUPIK</v>
      </c>
      <c r="I12" s="59" t="str">
        <f t="array" aca="1" ref="I12" ca="1">IFERROR(IF(A12&gt;$D$9,””,OFFSET(Database!$A$1,B12,5)),"")</f>
        <v>Shinta Wahyu Hati</v>
      </c>
      <c r="J12" s="59" t="str">
        <f t="array" aca="1" ref="J12" ca="1">IFERROR(IF(A12&gt;$D$9,””,OFFSET(Database!$A$1,B12,6)),"")</f>
        <v>Kartika Fithriasari</v>
      </c>
      <c r="K12" s="59" t="str">
        <f t="array" aca="1" ref="K12" ca="1">IFERROR(IF(A12&gt;$D$9,””,OFFSET(Database!$A$1,B12,7)),"")</f>
        <v>Adatul Mukaromah</v>
      </c>
      <c r="L12" s="59" t="str">
        <f t="array" aca="1" ref="L12" ca="1">IFERROR(IF(A12&gt;$D$9,””,OFFSET(Database!$A$1,B12,8)),"")</f>
        <v>0825107201</v>
      </c>
      <c r="M12" s="77" t="str">
        <f ca="1">IFERROR(IF(A12&gt;$D$9,””,OFFSET(Database!$A$1,B12,9)),"")</f>
        <v xml:space="preserve">PKM Industri Rumah Tangga Terasi Rebon Di Desa Ketapang, Kecamatan Kademangan,  </v>
      </c>
      <c r="N12" s="78"/>
      <c r="O12" s="78"/>
      <c r="P12" s="79"/>
      <c r="Q12" s="59">
        <f t="array" aca="1" ref="Q12" ca="1">IFERROR(IF(A12&gt;$D$9,””,OFFSET(Database!$A$1,B12,12)),"")</f>
        <v>2017</v>
      </c>
      <c r="R12" s="106">
        <f t="array" aca="1" ref="R12" ca="1">IFERROR(IF(A12&gt;$D$9,””,OFFSET(Database!$A$1,B12,13)),"")</f>
        <v>63000000</v>
      </c>
      <c r="S12" s="107"/>
      <c r="T12" s="54"/>
      <c r="U12" s="6"/>
      <c r="V12" s="10"/>
    </row>
    <row r="13" spans="2:22" ht="51" x14ac:dyDescent="0.25">
      <c r="B13" s="19">
        <f>B12+1</f>
        <v>103</v>
      </c>
      <c r="C13" s="4"/>
      <c r="D13" s="44" t="str">
        <f t="array" aca="1" ref="D13" ca="1">IFERROR(IF(A13&gt;$D$9,””,OFFSET(Database!$A$1,B13,1)),"")</f>
        <v>Pengabdian Masyarakat</v>
      </c>
      <c r="E13" s="59" t="str">
        <f t="array" aca="1" ref="E13" ca="1">IFERROR(IF(A13&gt;$D$9,””,OFFSET(Database!$A$1,B13,2)),"")</f>
        <v>LLDIKTI WILAYAH IV</v>
      </c>
      <c r="F13" s="77" t="str">
        <f ca="1">IFERROR(IF(A13&gt;$D$9,””,OFFSET(Database!$A$1,B13,3)),"")</f>
        <v>Universitas Jenderal Soedirman</v>
      </c>
      <c r="G13" s="79"/>
      <c r="H13" s="59" t="str">
        <f t="array" aca="1" ref="H13" ca="1">IFERROR(IF(A13&gt;$D$9,””,OFFSET(Database!$A$1,B13,4)),"")</f>
        <v>PKMS</v>
      </c>
      <c r="I13" s="59" t="str">
        <f t="array" aca="1" ref="I13" ca="1">IFERROR(IF(A13&gt;$D$9,””,OFFSET(Database!$A$1,B13,5)),"")</f>
        <v>Mey Risa</v>
      </c>
      <c r="J13" s="59" t="str">
        <f t="array" aca="1" ref="J13" ca="1">IFERROR(IF(A13&gt;$D$9,””,OFFSET(Database!$A$1,B13,6)),"")</f>
        <v>Agnes Tuti rumiati</v>
      </c>
      <c r="K13" s="59" t="str">
        <f t="array" aca="1" ref="K13" ca="1">IFERROR(IF(A13&gt;$D$9,””,OFFSET(Database!$A$1,B13,7)),"")</f>
        <v>Nur Iriawan</v>
      </c>
      <c r="L13" s="59" t="str">
        <f t="array" aca="1" ref="L13" ca="1">IFERROR(IF(A13&gt;$D$9,””,OFFSET(Database!$A$1,B13,8)),"")</f>
        <v>0108076604</v>
      </c>
      <c r="M13" s="77" t="str">
        <f ca="1">IFERROR(IF(A13&gt;$D$9,””,OFFSET(Database!$A$1,B13,9)),"")</f>
        <v xml:space="preserve">Conversational Pocket Meningkatkan Keterampilan Bahasa Inggris Bagi Perawat Dan </v>
      </c>
      <c r="N13" s="78"/>
      <c r="O13" s="78"/>
      <c r="P13" s="79"/>
      <c r="Q13" s="59">
        <f t="array" aca="1" ref="Q13" ca="1">IFERROR(IF(A13&gt;$D$9,””,OFFSET(Database!$A$1,B13,12)),"")</f>
        <v>2018</v>
      </c>
      <c r="R13" s="106">
        <f t="array" aca="1" ref="R13" ca="1">IFERROR(IF(A13&gt;$D$9,””,OFFSET(Database!$A$1,B13,13)),"")</f>
        <v>55000000</v>
      </c>
      <c r="S13" s="107"/>
      <c r="T13" s="54"/>
      <c r="U13" s="6"/>
      <c r="V13" s="10"/>
    </row>
    <row r="14" spans="2:22" ht="51" x14ac:dyDescent="0.25">
      <c r="B14" s="19">
        <f>B13+1</f>
        <v>104</v>
      </c>
      <c r="C14" s="4"/>
      <c r="D14" s="44" t="str">
        <f t="array" aca="1" ref="D14" ca="1">IFERROR(IF(A14&gt;$D$9,””,OFFSET(Database!$A$1,B14,1)),"")</f>
        <v>Pengabdian Masyarakat</v>
      </c>
      <c r="E14" s="59" t="str">
        <f t="array" aca="1" ref="E14" ca="1">IFERROR(IF(A14&gt;$D$9,””,OFFSET(Database!$A$1,B14,2)),"")</f>
        <v>LLDIKTI WILAYAH XIII</v>
      </c>
      <c r="F14" s="77" t="str">
        <f ca="1">IFERROR(IF(A14&gt;$D$9,””,OFFSET(Database!$A$1,B14,3)),"")</f>
        <v>Universitas Janabadra</v>
      </c>
      <c r="G14" s="79"/>
      <c r="H14" s="59" t="str">
        <f t="array" aca="1" ref="H14" ca="1">IFERROR(IF(A14&gt;$D$9,””,OFFSET(Database!$A$1,B14,4)),"")</f>
        <v>PKMS</v>
      </c>
      <c r="I14" s="59" t="str">
        <f t="array" aca="1" ref="I14" ca="1">IFERROR(IF(A14&gt;$D$9,””,OFFSET(Database!$A$1,B14,5)),"")</f>
        <v>Sitti Hadijah</v>
      </c>
      <c r="J14" s="59" t="str">
        <f t="array" aca="1" ref="J14" ca="1">IFERROR(IF(A14&gt;$D$9,””,OFFSET(Database!$A$1,B14,6)),"")</f>
        <v>Jerry Dwi T Purnomo</v>
      </c>
      <c r="K14" s="59" t="str">
        <f t="array" aca="1" ref="K14" ca="1">IFERROR(IF(A14&gt;$D$9,””,OFFSET(Database!$A$1,B14,7)),"")</f>
        <v>Irhamah</v>
      </c>
      <c r="L14" s="59" t="str">
        <f t="array" aca="1" ref="L14" ca="1">IFERROR(IF(A14&gt;$D$9,””,OFFSET(Database!$A$1,B14,8)),"")</f>
        <v>5823117504</v>
      </c>
      <c r="M14" s="77" t="str">
        <f ca="1">IFERROR(IF(A14&gt;$D$9,””,OFFSET(Database!$A$1,B14,9)),"")</f>
        <v>Pengembangan Ekonomi Industri Masyarakat Berbasis Agro Techno Park (Atp) Di Desa</v>
      </c>
      <c r="N14" s="78"/>
      <c r="O14" s="78"/>
      <c r="P14" s="79"/>
      <c r="Q14" s="59">
        <f t="array" aca="1" ref="Q14" ca="1">IFERROR(IF(A14&gt;$D$9,””,OFFSET(Database!$A$1,B14,12)),"")</f>
        <v>2019</v>
      </c>
      <c r="R14" s="106">
        <f t="array" aca="1" ref="R14" ca="1">IFERROR(IF(A14&gt;$D$9,””,OFFSET(Database!$A$1,B14,13)),"")</f>
        <v>68000000</v>
      </c>
      <c r="S14" s="107"/>
      <c r="T14" s="54"/>
      <c r="U14" s="6"/>
      <c r="V14" s="10"/>
    </row>
    <row r="15" spans="2:22" ht="51.75" thickBot="1" x14ac:dyDescent="0.3">
      <c r="B15" s="19">
        <f>B14+1</f>
        <v>105</v>
      </c>
      <c r="C15" s="4"/>
      <c r="D15" s="45" t="str">
        <f t="array" aca="1" ref="D15" ca="1">IFERROR(IF(A15&gt;$D$9,””,OFFSET(Database!$A$1,B15,1)),"")</f>
        <v>Pengabdian Masyarakat</v>
      </c>
      <c r="E15" s="61" t="str">
        <f t="array" aca="1" ref="E15" ca="1">IFERROR(IF(A15&gt;$D$9,””,OFFSET(Database!$A$1,B15,2)),"")</f>
        <v>LLDIKTI WILAYAH X</v>
      </c>
      <c r="F15" s="80" t="str">
        <f ca="1">IFERROR(IF(A15&gt;$D$9,””,OFFSET(Database!$A$1,B15,3)),"")</f>
        <v>Politeknik Negeri Lampung</v>
      </c>
      <c r="G15" s="82"/>
      <c r="H15" s="61" t="str">
        <f t="array" aca="1" ref="H15" ca="1">IFERROR(IF(A15&gt;$D$9,””,OFFSET(Database!$A$1,B15,4)),"")</f>
        <v>PPDM</v>
      </c>
      <c r="I15" s="61" t="str">
        <f t="array" aca="1" ref="I15" ca="1">IFERROR(IF(A15&gt;$D$9,””,OFFSET(Database!$A$1,B15,5)),"")</f>
        <v>Indah Yulia Ningsih</v>
      </c>
      <c r="J15" s="61" t="str">
        <f t="array" aca="1" ref="J15" ca="1">IFERROR(IF(A15&gt;$D$9,””,OFFSET(Database!$A$1,B15,6)),"")</f>
        <v>Heri Kuswanto</v>
      </c>
      <c r="K15" s="61" t="str">
        <f t="array" aca="1" ref="K15" ca="1">IFERROR(IF(A15&gt;$D$9,””,OFFSET(Database!$A$1,B15,7)),"")</f>
        <v>Sjahid Akbar</v>
      </c>
      <c r="L15" s="61" t="str">
        <f t="array" aca="1" ref="L15" ca="1">IFERROR(IF(A15&gt;$D$9,””,OFFSET(Database!$A$1,B15,8)),"")</f>
        <v>6426128303</v>
      </c>
      <c r="M15" s="80" t="str">
        <f ca="1">IFERROR(IF(A15&gt;$D$9,””,OFFSET(Database!$A$1,B15,9)),"")</f>
        <v>Pengembangan Teknologi Tepat Guna Dalam Peningkatan Manajemen Produksi Virgin Co</v>
      </c>
      <c r="N15" s="81"/>
      <c r="O15" s="81"/>
      <c r="P15" s="82"/>
      <c r="Q15" s="61">
        <f t="array" aca="1" ref="Q15" ca="1">IFERROR(IF(A15&gt;$D$9,””,OFFSET(Database!$A$1,B15,12)),"")</f>
        <v>2017</v>
      </c>
      <c r="R15" s="108">
        <f t="array" aca="1" ref="R15" ca="1">IFERROR(IF(A15&gt;$D$9,””,OFFSET(Database!$A$1,B15,13)),"")</f>
        <v>54000000</v>
      </c>
      <c r="S15" s="109"/>
      <c r="T15" s="54"/>
      <c r="U15" s="6"/>
      <c r="V15" s="10"/>
    </row>
    <row r="16" spans="2:22" ht="15.75" thickBot="1" x14ac:dyDescent="0.3">
      <c r="B16" s="19">
        <f>B15+1</f>
        <v>106</v>
      </c>
      <c r="C16" s="7"/>
      <c r="D16" s="8"/>
      <c r="E16" s="8"/>
      <c r="F16" s="8"/>
      <c r="G16" s="8"/>
      <c r="H16" s="8"/>
      <c r="I16" s="8"/>
      <c r="J16" s="8"/>
      <c r="K16" s="8"/>
      <c r="L16" s="8"/>
      <c r="M16" s="8"/>
      <c r="N16" s="8"/>
      <c r="O16" s="8"/>
      <c r="P16" s="8"/>
      <c r="Q16" s="8"/>
      <c r="R16" s="8"/>
      <c r="S16" s="8"/>
      <c r="T16" s="8"/>
      <c r="U16" s="9"/>
      <c r="V16" s="10"/>
    </row>
    <row r="17" spans="2:22" x14ac:dyDescent="0.25">
      <c r="B17" s="10"/>
      <c r="C17" s="10"/>
      <c r="D17" s="10"/>
      <c r="E17" s="10"/>
      <c r="F17" s="10"/>
      <c r="G17" s="10"/>
      <c r="H17" s="10"/>
      <c r="I17" s="10"/>
      <c r="J17" s="10"/>
      <c r="K17" s="10"/>
      <c r="L17" s="10"/>
      <c r="M17" s="10"/>
      <c r="N17" s="10"/>
      <c r="O17" s="10"/>
      <c r="P17" s="10"/>
      <c r="Q17" s="10"/>
      <c r="R17" s="10"/>
      <c r="S17" s="10"/>
      <c r="T17" s="10"/>
      <c r="U17" s="10"/>
      <c r="V17" s="10"/>
    </row>
    <row r="18" spans="2:22" ht="15" hidden="1" customHeight="1" x14ac:dyDescent="0.25"/>
    <row r="19" spans="2:22" ht="15" hidden="1" customHeight="1" x14ac:dyDescent="0.25"/>
    <row r="20" spans="2:22" ht="15" hidden="1" customHeight="1" x14ac:dyDescent="0.25"/>
    <row r="21" spans="2:22" ht="15" hidden="1" customHeight="1" x14ac:dyDescent="0.25"/>
    <row r="22" spans="2:22" ht="15" hidden="1" customHeight="1" x14ac:dyDescent="0.25"/>
    <row r="23" spans="2:22" ht="15" hidden="1" customHeight="1" x14ac:dyDescent="0.25"/>
    <row r="24" spans="2:22" ht="15" hidden="1" customHeight="1" x14ac:dyDescent="0.25"/>
    <row r="25" spans="2:22" ht="15" hidden="1" customHeight="1" x14ac:dyDescent="0.25"/>
    <row r="26" spans="2:22" ht="15" hidden="1" customHeight="1" x14ac:dyDescent="0.25"/>
    <row r="27" spans="2:22" ht="15" hidden="1" customHeight="1" x14ac:dyDescent="0.25"/>
    <row r="28" spans="2:22" ht="15" hidden="1" customHeight="1" x14ac:dyDescent="0.25"/>
    <row r="29" spans="2:22" ht="15" hidden="1" customHeight="1" x14ac:dyDescent="0.25"/>
    <row r="30" spans="2:22" ht="15" hidden="1" customHeight="1" x14ac:dyDescent="0.25"/>
    <row r="31" spans="2:22" ht="15" hidden="1" customHeight="1" x14ac:dyDescent="0.25"/>
  </sheetData>
  <mergeCells count="26">
    <mergeCell ref="F12:G12"/>
    <mergeCell ref="M12:P12"/>
    <mergeCell ref="R10:S10"/>
    <mergeCell ref="R11:S11"/>
    <mergeCell ref="R12:S12"/>
    <mergeCell ref="T2:U6"/>
    <mergeCell ref="F10:G10"/>
    <mergeCell ref="M10:P10"/>
    <mergeCell ref="F11:G11"/>
    <mergeCell ref="M11:P11"/>
    <mergeCell ref="C2:I6"/>
    <mergeCell ref="J2:K6"/>
    <mergeCell ref="L2:M6"/>
    <mergeCell ref="N2:O6"/>
    <mergeCell ref="P2:Q6"/>
    <mergeCell ref="R2:S6"/>
    <mergeCell ref="R8:S8"/>
    <mergeCell ref="R13:S13"/>
    <mergeCell ref="R14:S14"/>
    <mergeCell ref="R15:S15"/>
    <mergeCell ref="F13:G13"/>
    <mergeCell ref="M13:P13"/>
    <mergeCell ref="F14:G14"/>
    <mergeCell ref="M14:P14"/>
    <mergeCell ref="F15:G15"/>
    <mergeCell ref="M15:P15"/>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4337" r:id="rId5" name="Scroll Bar 1">
              <controlPr defaultSize="0" autoPict="0">
                <anchor moveWithCells="1">
                  <from>
                    <xdr:col>19</xdr:col>
                    <xdr:colOff>9525</xdr:colOff>
                    <xdr:row>8</xdr:row>
                    <xdr:rowOff>190500</xdr:rowOff>
                  </from>
                  <to>
                    <xdr:col>19</xdr:col>
                    <xdr:colOff>333375</xdr:colOff>
                    <xdr:row>15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PenNas"/>
  <dimension ref="A1:V31"/>
  <sheetViews>
    <sheetView showGridLines="0" showRowColHeaders="0"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3" width="8.140625" customWidth="1"/>
    <col min="4" max="5" width="9.140625" customWidth="1"/>
    <col min="6" max="7" width="9.7109375" customWidth="1"/>
    <col min="8"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10"/>
      <c r="S1" s="10"/>
      <c r="T1" s="10"/>
      <c r="U1" s="10"/>
      <c r="V1" s="10"/>
    </row>
    <row r="2" spans="2:22" x14ac:dyDescent="0.25">
      <c r="B2" s="10"/>
      <c r="C2" s="90"/>
      <c r="D2" s="91"/>
      <c r="E2" s="91"/>
      <c r="F2" s="91"/>
      <c r="G2" s="91"/>
      <c r="H2" s="91"/>
      <c r="I2" s="91"/>
      <c r="J2" s="69" t="s">
        <v>648</v>
      </c>
      <c r="K2" s="69"/>
      <c r="L2" s="69" t="s">
        <v>647</v>
      </c>
      <c r="M2" s="69"/>
      <c r="N2" s="69" t="s">
        <v>641</v>
      </c>
      <c r="O2" s="69"/>
      <c r="P2" s="69" t="s">
        <v>642</v>
      </c>
      <c r="Q2" s="69"/>
      <c r="R2" s="94" t="s">
        <v>643</v>
      </c>
      <c r="S2" s="94"/>
      <c r="T2" s="69" t="s">
        <v>644</v>
      </c>
      <c r="U2" s="70"/>
      <c r="V2" s="10"/>
    </row>
    <row r="3" spans="2:22" x14ac:dyDescent="0.25">
      <c r="B3" s="10"/>
      <c r="C3" s="92"/>
      <c r="D3" s="93"/>
      <c r="E3" s="93"/>
      <c r="F3" s="93"/>
      <c r="G3" s="93"/>
      <c r="H3" s="93"/>
      <c r="I3" s="93"/>
      <c r="J3" s="71"/>
      <c r="K3" s="71"/>
      <c r="L3" s="71"/>
      <c r="M3" s="71"/>
      <c r="N3" s="71"/>
      <c r="O3" s="71"/>
      <c r="P3" s="71"/>
      <c r="Q3" s="71"/>
      <c r="R3" s="95"/>
      <c r="S3" s="95"/>
      <c r="T3" s="71"/>
      <c r="U3" s="72"/>
      <c r="V3" s="10"/>
    </row>
    <row r="4" spans="2:22" x14ac:dyDescent="0.25">
      <c r="B4" s="10"/>
      <c r="C4" s="92"/>
      <c r="D4" s="93"/>
      <c r="E4" s="93"/>
      <c r="F4" s="93"/>
      <c r="G4" s="93"/>
      <c r="H4" s="93"/>
      <c r="I4" s="93"/>
      <c r="J4" s="71"/>
      <c r="K4" s="71"/>
      <c r="L4" s="71"/>
      <c r="M4" s="71"/>
      <c r="N4" s="71"/>
      <c r="O4" s="71"/>
      <c r="P4" s="71"/>
      <c r="Q4" s="71"/>
      <c r="R4" s="95"/>
      <c r="S4" s="95"/>
      <c r="T4" s="71"/>
      <c r="U4" s="72"/>
      <c r="V4" s="10"/>
    </row>
    <row r="5" spans="2:22" x14ac:dyDescent="0.25">
      <c r="B5" s="10"/>
      <c r="C5" s="92"/>
      <c r="D5" s="93"/>
      <c r="E5" s="93"/>
      <c r="F5" s="93"/>
      <c r="G5" s="93"/>
      <c r="H5" s="93"/>
      <c r="I5" s="93"/>
      <c r="J5" s="71"/>
      <c r="K5" s="71"/>
      <c r="L5" s="71"/>
      <c r="M5" s="71"/>
      <c r="N5" s="71"/>
      <c r="O5" s="71"/>
      <c r="P5" s="71"/>
      <c r="Q5" s="71"/>
      <c r="R5" s="95"/>
      <c r="S5" s="95"/>
      <c r="T5" s="71"/>
      <c r="U5" s="72"/>
      <c r="V5" s="10"/>
    </row>
    <row r="6" spans="2:22" x14ac:dyDescent="0.25">
      <c r="B6" s="10"/>
      <c r="C6" s="92"/>
      <c r="D6" s="93"/>
      <c r="E6" s="93"/>
      <c r="F6" s="93"/>
      <c r="G6" s="93"/>
      <c r="H6" s="93"/>
      <c r="I6" s="93"/>
      <c r="J6" s="71"/>
      <c r="K6" s="71"/>
      <c r="L6" s="71"/>
      <c r="M6" s="71"/>
      <c r="N6" s="71"/>
      <c r="O6" s="71"/>
      <c r="P6" s="71"/>
      <c r="Q6" s="71"/>
      <c r="R6" s="95"/>
      <c r="S6" s="95"/>
      <c r="T6" s="71"/>
      <c r="U6" s="72"/>
      <c r="V6" s="10"/>
    </row>
    <row r="7" spans="2:22" x14ac:dyDescent="0.25">
      <c r="B7" s="10"/>
      <c r="C7" s="4"/>
      <c r="D7" s="53"/>
      <c r="E7" s="53"/>
      <c r="F7" s="53"/>
      <c r="G7" s="53"/>
      <c r="H7" s="53"/>
      <c r="I7" s="53"/>
      <c r="J7" s="53"/>
      <c r="K7" s="53"/>
      <c r="L7" s="53"/>
      <c r="M7" s="53"/>
      <c r="N7" s="53"/>
      <c r="O7" s="53"/>
      <c r="P7" s="53"/>
      <c r="Q7" s="53"/>
      <c r="R7" s="53"/>
      <c r="S7" s="53"/>
      <c r="T7" s="53"/>
      <c r="U7" s="6"/>
      <c r="V7" s="10"/>
    </row>
    <row r="8" spans="2:22" x14ac:dyDescent="0.25">
      <c r="B8" s="10"/>
      <c r="C8" s="4"/>
      <c r="D8" s="112" t="s">
        <v>867</v>
      </c>
      <c r="E8" s="112"/>
      <c r="F8" s="113" t="s">
        <v>868</v>
      </c>
      <c r="G8" s="113"/>
      <c r="H8" s="113"/>
      <c r="I8" s="53"/>
      <c r="J8" s="53"/>
      <c r="K8" s="53"/>
      <c r="L8" s="53"/>
      <c r="M8" s="53"/>
      <c r="N8" s="53"/>
      <c r="O8" s="53"/>
      <c r="P8" s="53"/>
      <c r="Q8" s="53"/>
      <c r="R8" s="53"/>
      <c r="S8" s="53"/>
      <c r="T8" s="53"/>
      <c r="U8" s="6"/>
      <c r="V8" s="10"/>
    </row>
    <row r="9" spans="2:22" x14ac:dyDescent="0.25">
      <c r="B9" s="10"/>
      <c r="C9" s="4"/>
      <c r="D9" s="53"/>
      <c r="E9" s="53"/>
      <c r="F9" s="53"/>
      <c r="G9" s="53"/>
      <c r="H9" s="53"/>
      <c r="I9" s="53"/>
      <c r="J9" s="53"/>
      <c r="K9" s="53"/>
      <c r="L9" s="53"/>
      <c r="M9" s="53"/>
      <c r="N9" s="53"/>
      <c r="O9" s="53"/>
      <c r="P9" s="53"/>
      <c r="Q9" s="53"/>
      <c r="R9" s="53"/>
      <c r="S9" s="53"/>
      <c r="T9" s="53"/>
      <c r="U9" s="6"/>
      <c r="V9" s="10"/>
    </row>
    <row r="10" spans="2:22" x14ac:dyDescent="0.25">
      <c r="B10" s="10"/>
      <c r="C10" s="4"/>
      <c r="D10" s="53"/>
      <c r="E10" s="53"/>
      <c r="F10" s="54"/>
      <c r="G10" s="54"/>
      <c r="H10" s="54"/>
      <c r="I10" s="54"/>
      <c r="J10" s="54"/>
      <c r="K10" s="54"/>
      <c r="L10" s="54"/>
      <c r="M10" s="54"/>
      <c r="N10" s="54"/>
      <c r="O10" s="54"/>
      <c r="P10" s="54"/>
      <c r="Q10" s="54"/>
      <c r="R10" s="54"/>
      <c r="S10" s="54"/>
      <c r="T10" s="54"/>
      <c r="U10" s="6"/>
      <c r="V10" s="10"/>
    </row>
    <row r="11" spans="2:22" x14ac:dyDescent="0.25">
      <c r="B11" s="10"/>
      <c r="C11" s="4"/>
      <c r="D11" s="53"/>
      <c r="E11" s="53"/>
      <c r="F11" s="53"/>
      <c r="G11" s="53"/>
      <c r="H11" s="53"/>
      <c r="I11" s="53"/>
      <c r="J11" s="53"/>
      <c r="K11" s="53"/>
      <c r="L11" s="53"/>
      <c r="M11" s="53"/>
      <c r="N11" s="53"/>
      <c r="O11" s="53"/>
      <c r="P11" s="53"/>
      <c r="Q11" s="53"/>
      <c r="R11" s="53"/>
      <c r="S11" s="53"/>
      <c r="T11" s="53"/>
      <c r="U11" s="6"/>
      <c r="V11" s="10"/>
    </row>
    <row r="12" spans="2:22" x14ac:dyDescent="0.25">
      <c r="B12" s="10"/>
      <c r="C12" s="4"/>
      <c r="D12" s="53"/>
      <c r="E12" s="53"/>
      <c r="F12" s="53"/>
      <c r="G12" s="53"/>
      <c r="H12" s="53"/>
      <c r="I12" s="53"/>
      <c r="J12" s="53"/>
      <c r="K12" s="53"/>
      <c r="L12" s="53"/>
      <c r="M12" s="53"/>
      <c r="N12" s="53"/>
      <c r="O12" s="55"/>
      <c r="P12" s="53"/>
      <c r="Q12" s="53"/>
      <c r="R12" s="53"/>
      <c r="S12" s="53"/>
      <c r="T12" s="53"/>
      <c r="U12" s="6"/>
      <c r="V12" s="10"/>
    </row>
    <row r="13" spans="2:22" x14ac:dyDescent="0.25">
      <c r="B13" s="10"/>
      <c r="C13" s="4"/>
      <c r="D13" s="53"/>
      <c r="E13" s="53"/>
      <c r="F13" s="53"/>
      <c r="G13" s="53"/>
      <c r="H13" s="53"/>
      <c r="I13" s="53"/>
      <c r="J13" s="53"/>
      <c r="K13" s="53"/>
      <c r="L13" s="53"/>
      <c r="M13" s="53"/>
      <c r="N13" s="53"/>
      <c r="O13" s="53"/>
      <c r="P13" s="53"/>
      <c r="Q13" s="53"/>
      <c r="R13" s="53"/>
      <c r="S13" s="53"/>
      <c r="T13" s="53"/>
      <c r="U13" s="6"/>
      <c r="V13" s="10"/>
    </row>
    <row r="14" spans="2:22" x14ac:dyDescent="0.25">
      <c r="B14" s="10"/>
      <c r="C14" s="4"/>
      <c r="D14" s="53"/>
      <c r="E14" s="53"/>
      <c r="F14" s="53"/>
      <c r="G14" s="53"/>
      <c r="H14" s="53"/>
      <c r="I14" s="53"/>
      <c r="J14" s="53"/>
      <c r="K14" s="53"/>
      <c r="L14" s="53"/>
      <c r="M14" s="53"/>
      <c r="N14" s="53"/>
      <c r="O14" s="53"/>
      <c r="P14" s="53"/>
      <c r="Q14" s="53"/>
      <c r="R14" s="53"/>
      <c r="S14" s="53"/>
      <c r="T14" s="53"/>
      <c r="U14" s="6"/>
      <c r="V14" s="10"/>
    </row>
    <row r="15" spans="2:22" x14ac:dyDescent="0.25">
      <c r="B15" s="10"/>
      <c r="C15" s="4"/>
      <c r="D15" s="53"/>
      <c r="E15" s="53"/>
      <c r="F15" s="53"/>
      <c r="G15" s="53"/>
      <c r="H15" s="53"/>
      <c r="I15" s="53"/>
      <c r="J15" s="53"/>
      <c r="K15" s="53"/>
      <c r="L15" s="53"/>
      <c r="M15" s="53"/>
      <c r="N15" s="53"/>
      <c r="O15" s="53"/>
      <c r="P15" s="53"/>
      <c r="Q15" s="53"/>
      <c r="R15" s="53"/>
      <c r="S15" s="53"/>
      <c r="T15" s="53"/>
      <c r="U15" s="6"/>
      <c r="V15" s="10"/>
    </row>
    <row r="16" spans="2:22" x14ac:dyDescent="0.25">
      <c r="B16" s="10"/>
      <c r="C16" s="4"/>
      <c r="D16" s="53"/>
      <c r="E16" s="53"/>
      <c r="F16" s="53"/>
      <c r="G16" s="53"/>
      <c r="H16" s="53"/>
      <c r="I16" s="53"/>
      <c r="J16" s="53"/>
      <c r="K16" s="53"/>
      <c r="L16" s="53"/>
      <c r="M16" s="53"/>
      <c r="N16" s="53"/>
      <c r="O16" s="53"/>
      <c r="P16" s="53"/>
      <c r="Q16" s="53"/>
      <c r="R16" s="53"/>
      <c r="S16" s="53"/>
      <c r="T16" s="53"/>
      <c r="U16" s="6"/>
      <c r="V16" s="10"/>
    </row>
    <row r="17" spans="2:22" x14ac:dyDescent="0.25">
      <c r="B17" s="10"/>
      <c r="C17" s="4"/>
      <c r="D17" s="53"/>
      <c r="E17" s="53"/>
      <c r="F17" s="53"/>
      <c r="G17" s="53"/>
      <c r="H17" s="53"/>
      <c r="I17" s="53"/>
      <c r="J17" s="53"/>
      <c r="K17" s="53"/>
      <c r="L17" s="53"/>
      <c r="M17" s="53"/>
      <c r="N17" s="53"/>
      <c r="O17" s="53"/>
      <c r="P17" s="53"/>
      <c r="Q17" s="53"/>
      <c r="R17" s="53"/>
      <c r="S17" s="53"/>
      <c r="T17" s="53"/>
      <c r="U17" s="6"/>
      <c r="V17" s="10"/>
    </row>
    <row r="18" spans="2:22" x14ac:dyDescent="0.25">
      <c r="B18" s="10"/>
      <c r="C18" s="4"/>
      <c r="D18" s="53"/>
      <c r="E18" s="53"/>
      <c r="F18" s="53"/>
      <c r="G18" s="53"/>
      <c r="H18" s="53"/>
      <c r="I18" s="53"/>
      <c r="J18" s="53"/>
      <c r="K18" s="53"/>
      <c r="L18" s="53"/>
      <c r="M18" s="53"/>
      <c r="N18" s="53"/>
      <c r="O18" s="53"/>
      <c r="P18" s="53"/>
      <c r="Q18" s="53"/>
      <c r="R18" s="53"/>
      <c r="S18" s="53"/>
      <c r="T18" s="53"/>
      <c r="U18" s="6"/>
      <c r="V18" s="10"/>
    </row>
    <row r="19" spans="2:22" x14ac:dyDescent="0.25">
      <c r="B19" s="10"/>
      <c r="C19" s="4"/>
      <c r="D19" s="53"/>
      <c r="E19" s="53"/>
      <c r="F19" s="53"/>
      <c r="G19" s="53"/>
      <c r="H19" s="53"/>
      <c r="I19" s="53"/>
      <c r="J19" s="53"/>
      <c r="K19" s="53"/>
      <c r="L19" s="53"/>
      <c r="M19" s="53"/>
      <c r="N19" s="53"/>
      <c r="O19" s="53"/>
      <c r="P19" s="53"/>
      <c r="Q19" s="53"/>
      <c r="R19" s="53"/>
      <c r="S19" s="53"/>
      <c r="T19" s="53"/>
      <c r="U19" s="6"/>
      <c r="V19" s="10"/>
    </row>
    <row r="20" spans="2:22" x14ac:dyDescent="0.25">
      <c r="B20" s="10"/>
      <c r="C20" s="4"/>
      <c r="D20" s="53"/>
      <c r="E20" s="53"/>
      <c r="F20" s="53"/>
      <c r="G20" s="53"/>
      <c r="H20" s="53"/>
      <c r="I20" s="53"/>
      <c r="J20" s="53"/>
      <c r="K20" s="53"/>
      <c r="L20" s="53"/>
      <c r="M20" s="53"/>
      <c r="N20" s="53"/>
      <c r="O20" s="53"/>
      <c r="P20" s="53"/>
      <c r="Q20" s="53"/>
      <c r="R20" s="53"/>
      <c r="S20" s="53"/>
      <c r="T20" s="53"/>
      <c r="U20" s="6"/>
      <c r="V20" s="10"/>
    </row>
    <row r="21" spans="2:22" x14ac:dyDescent="0.25">
      <c r="B21" s="10"/>
      <c r="C21" s="4"/>
      <c r="D21" s="53"/>
      <c r="E21" s="53"/>
      <c r="F21" s="53"/>
      <c r="G21" s="53"/>
      <c r="H21" s="53"/>
      <c r="I21" s="53"/>
      <c r="J21" s="53"/>
      <c r="K21" s="53"/>
      <c r="L21" s="53"/>
      <c r="M21" s="53"/>
      <c r="N21" s="53"/>
      <c r="O21" s="53"/>
      <c r="P21" s="53"/>
      <c r="Q21" s="53"/>
      <c r="R21" s="53"/>
      <c r="S21" s="53"/>
      <c r="T21" s="53"/>
      <c r="U21" s="6"/>
      <c r="V21" s="10"/>
    </row>
    <row r="22" spans="2:22" x14ac:dyDescent="0.25">
      <c r="B22" s="10"/>
      <c r="C22" s="4"/>
      <c r="D22" s="53"/>
      <c r="E22" s="53"/>
      <c r="F22" s="53"/>
      <c r="G22" s="53"/>
      <c r="H22" s="53"/>
      <c r="I22" s="53"/>
      <c r="J22" s="53"/>
      <c r="K22" s="53"/>
      <c r="L22" s="53"/>
      <c r="M22" s="53"/>
      <c r="N22" s="53"/>
      <c r="O22" s="53"/>
      <c r="P22" s="53"/>
      <c r="Q22" s="53"/>
      <c r="R22" s="53"/>
      <c r="S22" s="53"/>
      <c r="T22" s="53"/>
      <c r="U22" s="6"/>
      <c r="V22" s="10"/>
    </row>
    <row r="23" spans="2:22" x14ac:dyDescent="0.25">
      <c r="B23" s="10"/>
      <c r="C23" s="4"/>
      <c r="D23" s="53"/>
      <c r="E23" s="53"/>
      <c r="F23" s="53"/>
      <c r="G23" s="53"/>
      <c r="H23" s="53"/>
      <c r="I23" s="53"/>
      <c r="J23" s="53"/>
      <c r="K23" s="53"/>
      <c r="L23" s="53"/>
      <c r="M23" s="53"/>
      <c r="N23" s="53"/>
      <c r="O23" s="53"/>
      <c r="P23" s="53"/>
      <c r="Q23" s="53"/>
      <c r="R23" s="53"/>
      <c r="S23" s="53"/>
      <c r="T23" s="53"/>
      <c r="U23" s="6"/>
      <c r="V23" s="10"/>
    </row>
    <row r="24" spans="2:22" x14ac:dyDescent="0.25">
      <c r="B24" s="10"/>
      <c r="C24" s="4"/>
      <c r="D24" s="53"/>
      <c r="E24" s="53"/>
      <c r="F24" s="53"/>
      <c r="G24" s="53"/>
      <c r="H24" s="53"/>
      <c r="I24" s="53"/>
      <c r="J24" s="53"/>
      <c r="K24" s="53"/>
      <c r="L24" s="53"/>
      <c r="M24" s="53"/>
      <c r="N24" s="53"/>
      <c r="O24" s="53"/>
      <c r="P24" s="53"/>
      <c r="Q24" s="53"/>
      <c r="R24" s="53"/>
      <c r="S24" s="53"/>
      <c r="T24" s="53"/>
      <c r="U24" s="6"/>
      <c r="V24" s="10"/>
    </row>
    <row r="25" spans="2:22" x14ac:dyDescent="0.25">
      <c r="B25" s="10"/>
      <c r="C25" s="4"/>
      <c r="D25" s="53"/>
      <c r="E25" s="53"/>
      <c r="F25" s="53"/>
      <c r="G25" s="53"/>
      <c r="H25" s="53"/>
      <c r="I25" s="53"/>
      <c r="J25" s="53"/>
      <c r="K25" s="53"/>
      <c r="L25" s="53"/>
      <c r="M25" s="53"/>
      <c r="N25" s="53"/>
      <c r="O25" s="53"/>
      <c r="P25" s="53"/>
      <c r="Q25" s="53"/>
      <c r="R25" s="53"/>
      <c r="S25" s="53"/>
      <c r="T25" s="53"/>
      <c r="U25" s="6"/>
      <c r="V25" s="10"/>
    </row>
    <row r="26" spans="2:22" x14ac:dyDescent="0.25">
      <c r="B26" s="10"/>
      <c r="C26" s="4"/>
      <c r="D26" s="53"/>
      <c r="E26" s="53"/>
      <c r="F26" s="53"/>
      <c r="G26" s="53"/>
      <c r="H26" s="53"/>
      <c r="I26" s="53"/>
      <c r="J26" s="53"/>
      <c r="K26" s="53"/>
      <c r="L26" s="53"/>
      <c r="M26" s="53"/>
      <c r="N26" s="53"/>
      <c r="O26" s="53"/>
      <c r="P26" s="53"/>
      <c r="Q26" s="53"/>
      <c r="R26" s="53"/>
      <c r="S26" s="53"/>
      <c r="T26" s="53"/>
      <c r="U26" s="6"/>
      <c r="V26" s="10"/>
    </row>
    <row r="27" spans="2:22" x14ac:dyDescent="0.25">
      <c r="B27" s="10"/>
      <c r="C27" s="4"/>
      <c r="D27" s="53"/>
      <c r="E27" s="53"/>
      <c r="F27" s="53"/>
      <c r="G27" s="53"/>
      <c r="H27" s="53"/>
      <c r="I27" s="53"/>
      <c r="J27" s="53"/>
      <c r="K27" s="53"/>
      <c r="L27" s="53"/>
      <c r="M27" s="53"/>
      <c r="N27" s="53"/>
      <c r="O27" s="53"/>
      <c r="P27" s="53"/>
      <c r="Q27" s="53"/>
      <c r="R27" s="53"/>
      <c r="S27" s="53"/>
      <c r="T27" s="53"/>
      <c r="U27" s="6"/>
      <c r="V27" s="10"/>
    </row>
    <row r="28" spans="2:22" x14ac:dyDescent="0.25">
      <c r="B28" s="10"/>
      <c r="C28" s="4"/>
      <c r="D28" s="53"/>
      <c r="E28" s="53"/>
      <c r="F28" s="53"/>
      <c r="G28" s="53"/>
      <c r="H28" s="53"/>
      <c r="I28" s="53"/>
      <c r="J28" s="53"/>
      <c r="K28" s="53"/>
      <c r="L28" s="53"/>
      <c r="M28" s="53"/>
      <c r="N28" s="53"/>
      <c r="O28" s="53"/>
      <c r="P28" s="53"/>
      <c r="Q28" s="53"/>
      <c r="R28" s="53"/>
      <c r="S28" s="53"/>
      <c r="T28" s="53"/>
      <c r="U28" s="6"/>
      <c r="V28" s="10"/>
    </row>
    <row r="29" spans="2:22" x14ac:dyDescent="0.25">
      <c r="B29" s="10"/>
      <c r="C29" s="4"/>
      <c r="D29" s="53"/>
      <c r="E29" s="53"/>
      <c r="F29" s="53"/>
      <c r="G29" s="53"/>
      <c r="H29" s="53"/>
      <c r="I29" s="53"/>
      <c r="J29" s="53"/>
      <c r="K29" s="53"/>
      <c r="L29" s="53"/>
      <c r="M29" s="53"/>
      <c r="N29" s="53"/>
      <c r="O29" s="53"/>
      <c r="P29" s="53"/>
      <c r="Q29" s="53"/>
      <c r="R29" s="53"/>
      <c r="S29" s="53"/>
      <c r="T29" s="53"/>
      <c r="U29" s="6"/>
      <c r="V29" s="10"/>
    </row>
    <row r="30" spans="2:22" ht="15.75" thickBot="1" x14ac:dyDescent="0.3">
      <c r="B30" s="10"/>
      <c r="C30" s="7"/>
      <c r="D30" s="8"/>
      <c r="E30" s="8"/>
      <c r="F30" s="8"/>
      <c r="G30" s="8"/>
      <c r="H30" s="8"/>
      <c r="I30" s="8"/>
      <c r="J30" s="8"/>
      <c r="K30" s="8"/>
      <c r="L30" s="8"/>
      <c r="M30" s="8"/>
      <c r="N30" s="8"/>
      <c r="O30" s="8"/>
      <c r="P30" s="8"/>
      <c r="Q30" s="8"/>
      <c r="R30" s="8"/>
      <c r="S30" s="8"/>
      <c r="T30" s="8"/>
      <c r="U30" s="9"/>
      <c r="V30" s="10"/>
    </row>
    <row r="31" spans="2:22" x14ac:dyDescent="0.25">
      <c r="B31" s="10"/>
      <c r="C31" s="10"/>
      <c r="D31" s="10"/>
      <c r="E31" s="10"/>
      <c r="F31" s="10"/>
      <c r="G31" s="10"/>
      <c r="H31" s="10"/>
      <c r="I31" s="10"/>
      <c r="J31" s="10"/>
      <c r="K31" s="10"/>
      <c r="L31" s="10"/>
      <c r="M31" s="10"/>
      <c r="N31" s="10"/>
      <c r="O31" s="10"/>
      <c r="P31" s="10"/>
      <c r="Q31" s="10"/>
      <c r="R31" s="10"/>
      <c r="S31" s="10"/>
      <c r="T31" s="10"/>
      <c r="U31" s="10"/>
      <c r="V31" s="10"/>
    </row>
  </sheetData>
  <mergeCells count="9">
    <mergeCell ref="T2:U6"/>
    <mergeCell ref="D8:E8"/>
    <mergeCell ref="C2:I6"/>
    <mergeCell ref="J2:K6"/>
    <mergeCell ref="L2:M6"/>
    <mergeCell ref="N2:O6"/>
    <mergeCell ref="P2:Q6"/>
    <mergeCell ref="R2:S6"/>
    <mergeCell ref="F8:H8"/>
  </mergeCells>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PenKa"/>
  <dimension ref="A1:V31"/>
  <sheetViews>
    <sheetView showGridLines="0" showRowColHeaders="0"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3" width="8.140625" customWidth="1"/>
    <col min="4" max="5" width="9.140625" customWidth="1"/>
    <col min="6" max="7" width="9.7109375" customWidth="1"/>
    <col min="8"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10"/>
      <c r="S1" s="10"/>
      <c r="T1" s="10"/>
      <c r="U1" s="10"/>
      <c r="V1" s="10"/>
    </row>
    <row r="2" spans="2:22" x14ac:dyDescent="0.25">
      <c r="B2" s="10"/>
      <c r="C2" s="90"/>
      <c r="D2" s="91"/>
      <c r="E2" s="91"/>
      <c r="F2" s="91"/>
      <c r="G2" s="91"/>
      <c r="H2" s="91"/>
      <c r="I2" s="91"/>
      <c r="J2" s="69" t="s">
        <v>648</v>
      </c>
      <c r="K2" s="69"/>
      <c r="L2" s="69" t="s">
        <v>647</v>
      </c>
      <c r="M2" s="69"/>
      <c r="N2" s="69" t="s">
        <v>641</v>
      </c>
      <c r="O2" s="69"/>
      <c r="P2" s="69" t="s">
        <v>642</v>
      </c>
      <c r="Q2" s="69"/>
      <c r="R2" s="94" t="s">
        <v>643</v>
      </c>
      <c r="S2" s="94"/>
      <c r="T2" s="69" t="s">
        <v>644</v>
      </c>
      <c r="U2" s="70"/>
      <c r="V2" s="10"/>
    </row>
    <row r="3" spans="2:22" x14ac:dyDescent="0.25">
      <c r="B3" s="10"/>
      <c r="C3" s="92"/>
      <c r="D3" s="93"/>
      <c r="E3" s="93"/>
      <c r="F3" s="93"/>
      <c r="G3" s="93"/>
      <c r="H3" s="93"/>
      <c r="I3" s="93"/>
      <c r="J3" s="71"/>
      <c r="K3" s="71"/>
      <c r="L3" s="71"/>
      <c r="M3" s="71"/>
      <c r="N3" s="71"/>
      <c r="O3" s="71"/>
      <c r="P3" s="71"/>
      <c r="Q3" s="71"/>
      <c r="R3" s="95"/>
      <c r="S3" s="95"/>
      <c r="T3" s="71"/>
      <c r="U3" s="72"/>
      <c r="V3" s="10"/>
    </row>
    <row r="4" spans="2:22" x14ac:dyDescent="0.25">
      <c r="B4" s="10"/>
      <c r="C4" s="92"/>
      <c r="D4" s="93"/>
      <c r="E4" s="93"/>
      <c r="F4" s="93"/>
      <c r="G4" s="93"/>
      <c r="H4" s="93"/>
      <c r="I4" s="93"/>
      <c r="J4" s="71"/>
      <c r="K4" s="71"/>
      <c r="L4" s="71"/>
      <c r="M4" s="71"/>
      <c r="N4" s="71"/>
      <c r="O4" s="71"/>
      <c r="P4" s="71"/>
      <c r="Q4" s="71"/>
      <c r="R4" s="95"/>
      <c r="S4" s="95"/>
      <c r="T4" s="71"/>
      <c r="U4" s="72"/>
      <c r="V4" s="10"/>
    </row>
    <row r="5" spans="2:22" x14ac:dyDescent="0.25">
      <c r="B5" s="10"/>
      <c r="C5" s="92"/>
      <c r="D5" s="93"/>
      <c r="E5" s="93"/>
      <c r="F5" s="93"/>
      <c r="G5" s="93"/>
      <c r="H5" s="93"/>
      <c r="I5" s="93"/>
      <c r="J5" s="71"/>
      <c r="K5" s="71"/>
      <c r="L5" s="71"/>
      <c r="M5" s="71"/>
      <c r="N5" s="71"/>
      <c r="O5" s="71"/>
      <c r="P5" s="71"/>
      <c r="Q5" s="71"/>
      <c r="R5" s="95"/>
      <c r="S5" s="95"/>
      <c r="T5" s="71"/>
      <c r="U5" s="72"/>
      <c r="V5" s="10"/>
    </row>
    <row r="6" spans="2:22" x14ac:dyDescent="0.25">
      <c r="B6" s="10"/>
      <c r="C6" s="92"/>
      <c r="D6" s="93"/>
      <c r="E6" s="93"/>
      <c r="F6" s="93"/>
      <c r="G6" s="93"/>
      <c r="H6" s="93"/>
      <c r="I6" s="93"/>
      <c r="J6" s="71"/>
      <c r="K6" s="71"/>
      <c r="L6" s="71"/>
      <c r="M6" s="71"/>
      <c r="N6" s="71"/>
      <c r="O6" s="71"/>
      <c r="P6" s="71"/>
      <c r="Q6" s="71"/>
      <c r="R6" s="95"/>
      <c r="S6" s="95"/>
      <c r="T6" s="71"/>
      <c r="U6" s="72"/>
      <c r="V6" s="10"/>
    </row>
    <row r="7" spans="2:22" x14ac:dyDescent="0.25">
      <c r="B7" s="10"/>
      <c r="C7" s="4"/>
      <c r="D7" s="54"/>
      <c r="E7" s="54"/>
      <c r="F7" s="54"/>
      <c r="G7" s="54"/>
      <c r="H7" s="54"/>
      <c r="I7" s="54"/>
      <c r="J7" s="54"/>
      <c r="K7" s="54"/>
      <c r="L7" s="54"/>
      <c r="M7" s="54"/>
      <c r="N7" s="54"/>
      <c r="O7" s="54"/>
      <c r="P7" s="54"/>
      <c r="Q7" s="54"/>
      <c r="R7" s="54"/>
      <c r="S7" s="54"/>
      <c r="T7" s="54"/>
      <c r="U7" s="6"/>
      <c r="V7" s="10"/>
    </row>
    <row r="8" spans="2:22" x14ac:dyDescent="0.25">
      <c r="B8" s="10"/>
      <c r="C8" s="4"/>
      <c r="D8" s="113" t="s">
        <v>867</v>
      </c>
      <c r="E8" s="113"/>
      <c r="F8" s="112" t="s">
        <v>868</v>
      </c>
      <c r="G8" s="112"/>
      <c r="H8" s="112"/>
      <c r="I8" s="54"/>
      <c r="J8" s="54"/>
      <c r="K8" s="54"/>
      <c r="L8" s="54"/>
      <c r="M8" s="54"/>
      <c r="N8" s="54"/>
      <c r="O8" s="54"/>
      <c r="P8" s="54"/>
      <c r="Q8" s="54"/>
      <c r="R8" s="54"/>
      <c r="S8" s="54"/>
      <c r="T8" s="54"/>
      <c r="U8" s="6"/>
      <c r="V8" s="10"/>
    </row>
    <row r="9" spans="2:22" x14ac:dyDescent="0.25">
      <c r="B9" s="10"/>
      <c r="C9" s="4"/>
      <c r="D9" s="54"/>
      <c r="E9" s="54"/>
      <c r="F9" s="54"/>
      <c r="G9" s="54"/>
      <c r="H9" s="54"/>
      <c r="I9" s="54"/>
      <c r="J9" s="54"/>
      <c r="K9" s="54"/>
      <c r="L9" s="54"/>
      <c r="M9" s="54"/>
      <c r="N9" s="54"/>
      <c r="O9" s="54"/>
      <c r="P9" s="54"/>
      <c r="Q9" s="54"/>
      <c r="R9" s="54"/>
      <c r="S9" s="54"/>
      <c r="T9" s="54"/>
      <c r="U9" s="6"/>
      <c r="V9" s="10"/>
    </row>
    <row r="10" spans="2:22" x14ac:dyDescent="0.25">
      <c r="B10" s="10"/>
      <c r="C10" s="4"/>
      <c r="D10" s="54"/>
      <c r="E10" s="54"/>
      <c r="F10" s="54"/>
      <c r="G10" s="54"/>
      <c r="H10" s="54"/>
      <c r="I10" s="54"/>
      <c r="J10" s="54"/>
      <c r="K10" s="54"/>
      <c r="L10" s="54"/>
      <c r="M10" s="54"/>
      <c r="N10" s="54"/>
      <c r="O10" s="54"/>
      <c r="P10" s="54"/>
      <c r="Q10" s="54"/>
      <c r="R10" s="54"/>
      <c r="S10" s="54"/>
      <c r="T10" s="54"/>
      <c r="U10" s="6"/>
      <c r="V10" s="10"/>
    </row>
    <row r="11" spans="2:22" x14ac:dyDescent="0.25">
      <c r="B11" s="10"/>
      <c r="C11" s="4"/>
      <c r="D11" s="54"/>
      <c r="E11" s="54"/>
      <c r="F11" s="54"/>
      <c r="G11" s="54"/>
      <c r="H11" s="54"/>
      <c r="I11" s="54"/>
      <c r="J11" s="54"/>
      <c r="K11" s="54"/>
      <c r="L11" s="54"/>
      <c r="M11" s="54"/>
      <c r="N11" s="54"/>
      <c r="O11" s="54"/>
      <c r="P11" s="54"/>
      <c r="Q11" s="54"/>
      <c r="R11" s="54"/>
      <c r="S11" s="54"/>
      <c r="T11" s="54"/>
      <c r="U11" s="6"/>
      <c r="V11" s="10"/>
    </row>
    <row r="12" spans="2:22" x14ac:dyDescent="0.25">
      <c r="B12" s="10"/>
      <c r="C12" s="4"/>
      <c r="D12" s="54"/>
      <c r="E12" s="54"/>
      <c r="F12" s="54"/>
      <c r="G12" s="54"/>
      <c r="H12" s="54"/>
      <c r="I12" s="54"/>
      <c r="J12" s="54"/>
      <c r="K12" s="54"/>
      <c r="L12" s="54"/>
      <c r="M12" s="54"/>
      <c r="N12" s="54"/>
      <c r="O12" s="54"/>
      <c r="P12" s="54"/>
      <c r="Q12" s="54"/>
      <c r="R12" s="54"/>
      <c r="S12" s="54"/>
      <c r="T12" s="54"/>
      <c r="U12" s="6"/>
      <c r="V12" s="10"/>
    </row>
    <row r="13" spans="2:22" x14ac:dyDescent="0.25">
      <c r="B13" s="10"/>
      <c r="C13" s="4"/>
      <c r="D13" s="54"/>
      <c r="E13" s="54"/>
      <c r="F13" s="54"/>
      <c r="G13" s="54"/>
      <c r="H13" s="54"/>
      <c r="I13" s="54"/>
      <c r="J13" s="54"/>
      <c r="K13" s="54"/>
      <c r="L13" s="54"/>
      <c r="M13" s="54"/>
      <c r="N13" s="54"/>
      <c r="O13" s="54"/>
      <c r="P13" s="54"/>
      <c r="Q13" s="54"/>
      <c r="R13" s="54"/>
      <c r="S13" s="54"/>
      <c r="T13" s="54"/>
      <c r="U13" s="6"/>
      <c r="V13" s="10"/>
    </row>
    <row r="14" spans="2:22" x14ac:dyDescent="0.25">
      <c r="B14" s="10"/>
      <c r="C14" s="4"/>
      <c r="D14" s="54"/>
      <c r="E14" s="54"/>
      <c r="F14" s="54"/>
      <c r="G14" s="54"/>
      <c r="H14" s="54"/>
      <c r="I14" s="54"/>
      <c r="J14" s="54"/>
      <c r="K14" s="54"/>
      <c r="L14" s="54"/>
      <c r="M14" s="54"/>
      <c r="N14" s="54"/>
      <c r="O14" s="54"/>
      <c r="P14" s="54"/>
      <c r="Q14" s="54"/>
      <c r="R14" s="54"/>
      <c r="S14" s="54"/>
      <c r="T14" s="54"/>
      <c r="U14" s="6"/>
      <c r="V14" s="10"/>
    </row>
    <row r="15" spans="2:22" x14ac:dyDescent="0.25">
      <c r="B15" s="10"/>
      <c r="C15" s="4"/>
      <c r="D15" s="54"/>
      <c r="E15" s="54"/>
      <c r="F15" s="54"/>
      <c r="G15" s="54"/>
      <c r="H15" s="54"/>
      <c r="I15" s="54"/>
      <c r="J15" s="54"/>
      <c r="K15" s="54"/>
      <c r="L15" s="54"/>
      <c r="M15" s="54"/>
      <c r="N15" s="54"/>
      <c r="O15" s="54"/>
      <c r="P15" s="54"/>
      <c r="Q15" s="54"/>
      <c r="R15" s="54"/>
      <c r="S15" s="54"/>
      <c r="T15" s="54"/>
      <c r="U15" s="6"/>
      <c r="V15" s="10"/>
    </row>
    <row r="16" spans="2:22" x14ac:dyDescent="0.25">
      <c r="B16" s="10"/>
      <c r="C16" s="4"/>
      <c r="D16" s="54"/>
      <c r="E16" s="54"/>
      <c r="F16" s="54"/>
      <c r="G16" s="54"/>
      <c r="H16" s="54"/>
      <c r="I16" s="54"/>
      <c r="J16" s="54"/>
      <c r="K16" s="54"/>
      <c r="L16" s="54"/>
      <c r="M16" s="54"/>
      <c r="N16" s="54"/>
      <c r="O16" s="54"/>
      <c r="P16" s="54"/>
      <c r="Q16" s="54"/>
      <c r="R16" s="54"/>
      <c r="S16" s="54"/>
      <c r="T16" s="54"/>
      <c r="U16" s="6"/>
      <c r="V16" s="10"/>
    </row>
    <row r="17" spans="2:22" x14ac:dyDescent="0.25">
      <c r="B17" s="10"/>
      <c r="C17" s="4"/>
      <c r="D17" s="54"/>
      <c r="E17" s="54"/>
      <c r="F17" s="54"/>
      <c r="G17" s="54"/>
      <c r="H17" s="54"/>
      <c r="I17" s="54"/>
      <c r="J17" s="54"/>
      <c r="K17" s="54"/>
      <c r="L17" s="54"/>
      <c r="M17" s="54"/>
      <c r="N17" s="54"/>
      <c r="O17" s="54"/>
      <c r="P17" s="54"/>
      <c r="Q17" s="54"/>
      <c r="R17" s="54"/>
      <c r="S17" s="54"/>
      <c r="T17" s="54"/>
      <c r="U17" s="6"/>
      <c r="V17" s="10"/>
    </row>
    <row r="18" spans="2:22" x14ac:dyDescent="0.25">
      <c r="B18" s="10"/>
      <c r="C18" s="4"/>
      <c r="D18" s="54"/>
      <c r="E18" s="54"/>
      <c r="F18" s="54"/>
      <c r="G18" s="54"/>
      <c r="H18" s="54"/>
      <c r="I18" s="54"/>
      <c r="J18" s="54"/>
      <c r="K18" s="54"/>
      <c r="L18" s="54"/>
      <c r="M18" s="54"/>
      <c r="N18" s="54"/>
      <c r="O18" s="54"/>
      <c r="P18" s="54"/>
      <c r="Q18" s="54"/>
      <c r="R18" s="54"/>
      <c r="S18" s="54"/>
      <c r="T18" s="54"/>
      <c r="U18" s="6"/>
      <c r="V18" s="10"/>
    </row>
    <row r="19" spans="2:22" x14ac:dyDescent="0.25">
      <c r="B19" s="10"/>
      <c r="C19" s="4"/>
      <c r="D19" s="54"/>
      <c r="E19" s="54"/>
      <c r="F19" s="54"/>
      <c r="G19" s="54"/>
      <c r="H19" s="54"/>
      <c r="I19" s="54"/>
      <c r="J19" s="54"/>
      <c r="K19" s="54"/>
      <c r="L19" s="54"/>
      <c r="M19" s="54"/>
      <c r="N19" s="54"/>
      <c r="O19" s="54"/>
      <c r="P19" s="54"/>
      <c r="Q19" s="54"/>
      <c r="R19" s="54"/>
      <c r="S19" s="54"/>
      <c r="T19" s="54"/>
      <c r="U19" s="6"/>
      <c r="V19" s="10"/>
    </row>
    <row r="20" spans="2:22" x14ac:dyDescent="0.25">
      <c r="B20" s="10"/>
      <c r="C20" s="4"/>
      <c r="D20" s="54"/>
      <c r="E20" s="54"/>
      <c r="F20" s="54"/>
      <c r="G20" s="54"/>
      <c r="H20" s="54"/>
      <c r="I20" s="54"/>
      <c r="J20" s="54"/>
      <c r="K20" s="54"/>
      <c r="L20" s="54"/>
      <c r="M20" s="54"/>
      <c r="N20" s="54"/>
      <c r="O20" s="54"/>
      <c r="P20" s="54"/>
      <c r="Q20" s="54"/>
      <c r="R20" s="54"/>
      <c r="S20" s="54"/>
      <c r="T20" s="54"/>
      <c r="U20" s="6"/>
      <c r="V20" s="10"/>
    </row>
    <row r="21" spans="2:22" x14ac:dyDescent="0.25">
      <c r="B21" s="10"/>
      <c r="C21" s="4"/>
      <c r="D21" s="54"/>
      <c r="E21" s="54"/>
      <c r="F21" s="54"/>
      <c r="G21" s="54"/>
      <c r="H21" s="54"/>
      <c r="I21" s="54"/>
      <c r="J21" s="54"/>
      <c r="K21" s="54"/>
      <c r="L21" s="54"/>
      <c r="M21" s="54"/>
      <c r="N21" s="54"/>
      <c r="O21" s="54"/>
      <c r="P21" s="54"/>
      <c r="Q21" s="54"/>
      <c r="R21" s="54"/>
      <c r="S21" s="54"/>
      <c r="T21" s="54"/>
      <c r="U21" s="6"/>
      <c r="V21" s="10"/>
    </row>
    <row r="22" spans="2:22" x14ac:dyDescent="0.25">
      <c r="B22" s="10"/>
      <c r="C22" s="4"/>
      <c r="D22" s="54"/>
      <c r="E22" s="54"/>
      <c r="F22" s="54"/>
      <c r="G22" s="54"/>
      <c r="H22" s="54"/>
      <c r="I22" s="54"/>
      <c r="J22" s="54"/>
      <c r="K22" s="54"/>
      <c r="L22" s="54"/>
      <c r="M22" s="54"/>
      <c r="N22" s="54"/>
      <c r="O22" s="54"/>
      <c r="P22" s="54"/>
      <c r="Q22" s="54"/>
      <c r="R22" s="54"/>
      <c r="S22" s="54"/>
      <c r="T22" s="54"/>
      <c r="U22" s="6"/>
      <c r="V22" s="10"/>
    </row>
    <row r="23" spans="2:22" x14ac:dyDescent="0.25">
      <c r="B23" s="10"/>
      <c r="C23" s="4"/>
      <c r="D23" s="54"/>
      <c r="E23" s="54"/>
      <c r="F23" s="54"/>
      <c r="G23" s="54"/>
      <c r="H23" s="54"/>
      <c r="I23" s="54"/>
      <c r="J23" s="54"/>
      <c r="K23" s="54"/>
      <c r="L23" s="54"/>
      <c r="M23" s="54"/>
      <c r="N23" s="54"/>
      <c r="O23" s="54"/>
      <c r="P23" s="54"/>
      <c r="Q23" s="54"/>
      <c r="R23" s="54"/>
      <c r="S23" s="54"/>
      <c r="T23" s="54"/>
      <c r="U23" s="6"/>
      <c r="V23" s="10"/>
    </row>
    <row r="24" spans="2:22" x14ac:dyDescent="0.25">
      <c r="B24" s="10"/>
      <c r="C24" s="4"/>
      <c r="D24" s="54"/>
      <c r="E24" s="54"/>
      <c r="F24" s="54"/>
      <c r="G24" s="54"/>
      <c r="H24" s="54"/>
      <c r="I24" s="54"/>
      <c r="J24" s="54"/>
      <c r="K24" s="54"/>
      <c r="L24" s="54"/>
      <c r="M24" s="54"/>
      <c r="N24" s="54"/>
      <c r="O24" s="54"/>
      <c r="P24" s="54"/>
      <c r="Q24" s="54"/>
      <c r="R24" s="54"/>
      <c r="S24" s="54"/>
      <c r="T24" s="54"/>
      <c r="U24" s="6"/>
      <c r="V24" s="10"/>
    </row>
    <row r="25" spans="2:22" x14ac:dyDescent="0.25">
      <c r="B25" s="10"/>
      <c r="C25" s="4"/>
      <c r="D25" s="54"/>
      <c r="E25" s="54"/>
      <c r="F25" s="54"/>
      <c r="G25" s="54"/>
      <c r="H25" s="54"/>
      <c r="I25" s="54"/>
      <c r="J25" s="54"/>
      <c r="K25" s="54"/>
      <c r="L25" s="54"/>
      <c r="M25" s="54"/>
      <c r="N25" s="54"/>
      <c r="O25" s="54"/>
      <c r="P25" s="54"/>
      <c r="Q25" s="54"/>
      <c r="R25" s="54"/>
      <c r="S25" s="54"/>
      <c r="T25" s="54"/>
      <c r="U25" s="6"/>
      <c r="V25" s="10"/>
    </row>
    <row r="26" spans="2:22" x14ac:dyDescent="0.25">
      <c r="B26" s="10"/>
      <c r="C26" s="4"/>
      <c r="D26" s="54"/>
      <c r="E26" s="54"/>
      <c r="F26" s="54"/>
      <c r="G26" s="54"/>
      <c r="H26" s="54"/>
      <c r="I26" s="54"/>
      <c r="J26" s="54"/>
      <c r="K26" s="54"/>
      <c r="L26" s="54"/>
      <c r="M26" s="54"/>
      <c r="N26" s="54"/>
      <c r="O26" s="54"/>
      <c r="P26" s="54"/>
      <c r="Q26" s="54"/>
      <c r="R26" s="54"/>
      <c r="S26" s="54"/>
      <c r="T26" s="54"/>
      <c r="U26" s="6"/>
      <c r="V26" s="10"/>
    </row>
    <row r="27" spans="2:22" x14ac:dyDescent="0.25">
      <c r="B27" s="10"/>
      <c r="C27" s="4"/>
      <c r="D27" s="54"/>
      <c r="E27" s="54"/>
      <c r="F27" s="54"/>
      <c r="G27" s="54"/>
      <c r="H27" s="54"/>
      <c r="I27" s="54"/>
      <c r="J27" s="54"/>
      <c r="K27" s="54"/>
      <c r="L27" s="54"/>
      <c r="M27" s="54"/>
      <c r="N27" s="54"/>
      <c r="O27" s="54"/>
      <c r="P27" s="54"/>
      <c r="Q27" s="54"/>
      <c r="R27" s="54"/>
      <c r="S27" s="54"/>
      <c r="T27" s="54"/>
      <c r="U27" s="6"/>
      <c r="V27" s="10"/>
    </row>
    <row r="28" spans="2:22" x14ac:dyDescent="0.25">
      <c r="B28" s="10"/>
      <c r="C28" s="4"/>
      <c r="D28" s="54"/>
      <c r="E28" s="54"/>
      <c r="F28" s="54"/>
      <c r="G28" s="54"/>
      <c r="H28" s="54"/>
      <c r="I28" s="54"/>
      <c r="J28" s="54"/>
      <c r="K28" s="54"/>
      <c r="L28" s="54"/>
      <c r="M28" s="54"/>
      <c r="N28" s="54"/>
      <c r="O28" s="54"/>
      <c r="P28" s="54"/>
      <c r="Q28" s="54"/>
      <c r="R28" s="54"/>
      <c r="S28" s="54"/>
      <c r="T28" s="54"/>
      <c r="U28" s="6"/>
      <c r="V28" s="10"/>
    </row>
    <row r="29" spans="2:22" x14ac:dyDescent="0.25">
      <c r="B29" s="10"/>
      <c r="C29" s="4"/>
      <c r="D29" s="54"/>
      <c r="E29" s="54"/>
      <c r="F29" s="54"/>
      <c r="G29" s="54"/>
      <c r="H29" s="54"/>
      <c r="I29" s="54"/>
      <c r="J29" s="54"/>
      <c r="K29" s="54"/>
      <c r="L29" s="54"/>
      <c r="M29" s="54"/>
      <c r="N29" s="54"/>
      <c r="O29" s="54"/>
      <c r="P29" s="54"/>
      <c r="Q29" s="54"/>
      <c r="R29" s="54"/>
      <c r="S29" s="54"/>
      <c r="T29" s="54"/>
      <c r="U29" s="6"/>
      <c r="V29" s="10"/>
    </row>
    <row r="30" spans="2:22" ht="15.75" thickBot="1" x14ac:dyDescent="0.3">
      <c r="B30" s="10"/>
      <c r="C30" s="7"/>
      <c r="D30" s="8"/>
      <c r="E30" s="8"/>
      <c r="F30" s="8"/>
      <c r="G30" s="8"/>
      <c r="H30" s="8"/>
      <c r="I30" s="8"/>
      <c r="J30" s="8"/>
      <c r="K30" s="8"/>
      <c r="L30" s="8"/>
      <c r="M30" s="8"/>
      <c r="N30" s="8"/>
      <c r="O30" s="8"/>
      <c r="P30" s="8"/>
      <c r="Q30" s="8"/>
      <c r="R30" s="8"/>
      <c r="S30" s="8"/>
      <c r="T30" s="8"/>
      <c r="U30" s="9"/>
      <c r="V30" s="10"/>
    </row>
    <row r="31" spans="2:22" x14ac:dyDescent="0.25">
      <c r="B31" s="10"/>
      <c r="C31" s="10"/>
      <c r="D31" s="10"/>
      <c r="E31" s="10"/>
      <c r="F31" s="10"/>
      <c r="G31" s="10"/>
      <c r="H31" s="10"/>
      <c r="I31" s="10"/>
      <c r="J31" s="10"/>
      <c r="K31" s="10"/>
      <c r="L31" s="10"/>
      <c r="M31" s="10"/>
      <c r="N31" s="10"/>
      <c r="O31" s="10"/>
      <c r="P31" s="10"/>
      <c r="Q31" s="10"/>
      <c r="R31" s="10"/>
      <c r="S31" s="10"/>
      <c r="T31" s="10"/>
      <c r="U31" s="10"/>
      <c r="V31" s="10"/>
    </row>
  </sheetData>
  <mergeCells count="9">
    <mergeCell ref="T2:U6"/>
    <mergeCell ref="D8:E8"/>
    <mergeCell ref="C2:I6"/>
    <mergeCell ref="J2:K6"/>
    <mergeCell ref="L2:M6"/>
    <mergeCell ref="N2:O6"/>
    <mergeCell ref="P2:Q6"/>
    <mergeCell ref="R2:S6"/>
    <mergeCell ref="F8:H8"/>
  </mergeCells>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PengNas"/>
  <dimension ref="A1:V31"/>
  <sheetViews>
    <sheetView showGridLines="0" showRowColHeaders="0"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3" width="7.7109375" customWidth="1"/>
    <col min="4" max="5" width="9.140625" customWidth="1"/>
    <col min="6" max="7" width="10" customWidth="1"/>
    <col min="8" max="21" width="9.140625" customWidth="1"/>
    <col min="22" max="22" width="5.7109375" customWidth="1"/>
    <col min="23" max="16384" width="9.140625" hidden="1"/>
  </cols>
  <sheetData>
    <row r="1" spans="2:22" ht="15.75" thickBot="1" x14ac:dyDescent="0.3">
      <c r="B1" s="10"/>
      <c r="C1" s="10"/>
      <c r="D1" s="10"/>
      <c r="E1" s="10"/>
      <c r="F1" s="10"/>
      <c r="G1" s="10"/>
      <c r="H1" s="10"/>
      <c r="I1" s="10"/>
      <c r="J1" s="10"/>
      <c r="K1" s="10"/>
      <c r="L1" s="10"/>
      <c r="M1" s="10"/>
      <c r="N1" s="10"/>
      <c r="O1" s="10"/>
      <c r="P1" s="10"/>
      <c r="Q1" s="10"/>
      <c r="R1" s="10"/>
      <c r="S1" s="10"/>
      <c r="T1" s="10"/>
      <c r="U1" s="10"/>
      <c r="V1" s="10"/>
    </row>
    <row r="2" spans="2:22" x14ac:dyDescent="0.25">
      <c r="B2" s="10"/>
      <c r="C2" s="90"/>
      <c r="D2" s="91"/>
      <c r="E2" s="91"/>
      <c r="F2" s="91"/>
      <c r="G2" s="91"/>
      <c r="H2" s="91"/>
      <c r="I2" s="91"/>
      <c r="J2" s="69" t="s">
        <v>648</v>
      </c>
      <c r="K2" s="69"/>
      <c r="L2" s="69" t="s">
        <v>647</v>
      </c>
      <c r="M2" s="69"/>
      <c r="N2" s="69" t="s">
        <v>641</v>
      </c>
      <c r="O2" s="69"/>
      <c r="P2" s="69" t="s">
        <v>642</v>
      </c>
      <c r="Q2" s="69"/>
      <c r="R2" s="69" t="s">
        <v>643</v>
      </c>
      <c r="S2" s="69"/>
      <c r="T2" s="94" t="s">
        <v>644</v>
      </c>
      <c r="U2" s="114"/>
      <c r="V2" s="10"/>
    </row>
    <row r="3" spans="2:22" x14ac:dyDescent="0.25">
      <c r="B3" s="10"/>
      <c r="C3" s="92"/>
      <c r="D3" s="93"/>
      <c r="E3" s="93"/>
      <c r="F3" s="93"/>
      <c r="G3" s="93"/>
      <c r="H3" s="93"/>
      <c r="I3" s="93"/>
      <c r="J3" s="71"/>
      <c r="K3" s="71"/>
      <c r="L3" s="71"/>
      <c r="M3" s="71"/>
      <c r="N3" s="71"/>
      <c r="O3" s="71"/>
      <c r="P3" s="71"/>
      <c r="Q3" s="71"/>
      <c r="R3" s="71"/>
      <c r="S3" s="71"/>
      <c r="T3" s="95"/>
      <c r="U3" s="115"/>
      <c r="V3" s="10"/>
    </row>
    <row r="4" spans="2:22" x14ac:dyDescent="0.25">
      <c r="B4" s="10"/>
      <c r="C4" s="92"/>
      <c r="D4" s="93"/>
      <c r="E4" s="93"/>
      <c r="F4" s="93"/>
      <c r="G4" s="93"/>
      <c r="H4" s="93"/>
      <c r="I4" s="93"/>
      <c r="J4" s="71"/>
      <c r="K4" s="71"/>
      <c r="L4" s="71"/>
      <c r="M4" s="71"/>
      <c r="N4" s="71"/>
      <c r="O4" s="71"/>
      <c r="P4" s="71"/>
      <c r="Q4" s="71"/>
      <c r="R4" s="71"/>
      <c r="S4" s="71"/>
      <c r="T4" s="95"/>
      <c r="U4" s="115"/>
      <c r="V4" s="10"/>
    </row>
    <row r="5" spans="2:22" x14ac:dyDescent="0.25">
      <c r="B5" s="10"/>
      <c r="C5" s="92"/>
      <c r="D5" s="93"/>
      <c r="E5" s="93"/>
      <c r="F5" s="93"/>
      <c r="G5" s="93"/>
      <c r="H5" s="93"/>
      <c r="I5" s="93"/>
      <c r="J5" s="71"/>
      <c r="K5" s="71"/>
      <c r="L5" s="71"/>
      <c r="M5" s="71"/>
      <c r="N5" s="71"/>
      <c r="O5" s="71"/>
      <c r="P5" s="71"/>
      <c r="Q5" s="71"/>
      <c r="R5" s="71"/>
      <c r="S5" s="71"/>
      <c r="T5" s="95"/>
      <c r="U5" s="115"/>
      <c r="V5" s="10"/>
    </row>
    <row r="6" spans="2:22" x14ac:dyDescent="0.25">
      <c r="B6" s="10"/>
      <c r="C6" s="92"/>
      <c r="D6" s="93"/>
      <c r="E6" s="93"/>
      <c r="F6" s="93"/>
      <c r="G6" s="93"/>
      <c r="H6" s="93"/>
      <c r="I6" s="93"/>
      <c r="J6" s="71"/>
      <c r="K6" s="71"/>
      <c r="L6" s="71"/>
      <c r="M6" s="71"/>
      <c r="N6" s="71"/>
      <c r="O6" s="71"/>
      <c r="P6" s="71"/>
      <c r="Q6" s="71"/>
      <c r="R6" s="71"/>
      <c r="S6" s="71"/>
      <c r="T6" s="95"/>
      <c r="U6" s="115"/>
      <c r="V6" s="10"/>
    </row>
    <row r="7" spans="2:22" x14ac:dyDescent="0.25">
      <c r="B7" s="10"/>
      <c r="C7" s="4"/>
      <c r="D7" s="54"/>
      <c r="E7" s="54"/>
      <c r="F7" s="54"/>
      <c r="G7" s="54"/>
      <c r="H7" s="54"/>
      <c r="I7" s="54"/>
      <c r="J7" s="54"/>
      <c r="K7" s="54"/>
      <c r="L7" s="54"/>
      <c r="M7" s="54"/>
      <c r="N7" s="54"/>
      <c r="O7" s="54"/>
      <c r="P7" s="54"/>
      <c r="Q7" s="54"/>
      <c r="R7" s="54"/>
      <c r="S7" s="54"/>
      <c r="T7" s="54"/>
      <c r="U7" s="6"/>
      <c r="V7" s="10"/>
    </row>
    <row r="8" spans="2:22" x14ac:dyDescent="0.25">
      <c r="B8" s="10"/>
      <c r="C8" s="4"/>
      <c r="D8" s="112" t="s">
        <v>867</v>
      </c>
      <c r="E8" s="112"/>
      <c r="F8" s="113" t="s">
        <v>868</v>
      </c>
      <c r="G8" s="113"/>
      <c r="H8" s="113"/>
      <c r="I8" s="54"/>
      <c r="J8" s="54"/>
      <c r="K8" s="54"/>
      <c r="L8" s="54"/>
      <c r="M8" s="54"/>
      <c r="N8" s="54"/>
      <c r="O8" s="54"/>
      <c r="P8" s="54"/>
      <c r="Q8" s="54"/>
      <c r="R8" s="54"/>
      <c r="S8" s="54"/>
      <c r="T8" s="54"/>
      <c r="U8" s="6"/>
      <c r="V8" s="10"/>
    </row>
    <row r="9" spans="2:22" x14ac:dyDescent="0.25">
      <c r="B9" s="10"/>
      <c r="C9" s="4"/>
      <c r="D9" s="54"/>
      <c r="E9" s="54"/>
      <c r="F9" s="54"/>
      <c r="G9" s="54"/>
      <c r="H9" s="54"/>
      <c r="I9" s="54"/>
      <c r="J9" s="54"/>
      <c r="K9" s="54"/>
      <c r="L9" s="54"/>
      <c r="M9" s="54"/>
      <c r="N9" s="54"/>
      <c r="O9" s="54"/>
      <c r="P9" s="54"/>
      <c r="Q9" s="54"/>
      <c r="R9" s="54"/>
      <c r="S9" s="54"/>
      <c r="T9" s="54"/>
      <c r="U9" s="6"/>
      <c r="V9" s="10"/>
    </row>
    <row r="10" spans="2:22" x14ac:dyDescent="0.25">
      <c r="B10" s="10"/>
      <c r="C10" s="4"/>
      <c r="D10" s="54"/>
      <c r="E10" s="54"/>
      <c r="F10" s="54"/>
      <c r="G10" s="54"/>
      <c r="H10" s="54"/>
      <c r="I10" s="54"/>
      <c r="J10" s="54"/>
      <c r="K10" s="54"/>
      <c r="L10" s="54"/>
      <c r="M10" s="54"/>
      <c r="N10" s="54"/>
      <c r="O10" s="54"/>
      <c r="P10" s="54"/>
      <c r="Q10" s="54"/>
      <c r="R10" s="54"/>
      <c r="S10" s="54"/>
      <c r="T10" s="54"/>
      <c r="U10" s="6"/>
      <c r="V10" s="10"/>
    </row>
    <row r="11" spans="2:22" x14ac:dyDescent="0.25">
      <c r="B11" s="10"/>
      <c r="C11" s="4"/>
      <c r="D11" s="54"/>
      <c r="E11" s="54"/>
      <c r="F11" s="54"/>
      <c r="G11" s="54"/>
      <c r="H11" s="54"/>
      <c r="I11" s="54"/>
      <c r="J11" s="54"/>
      <c r="K11" s="54"/>
      <c r="L11" s="54"/>
      <c r="M11" s="54"/>
      <c r="N11" s="54"/>
      <c r="O11" s="54"/>
      <c r="P11" s="54"/>
      <c r="Q11" s="54"/>
      <c r="R11" s="54"/>
      <c r="S11" s="54"/>
      <c r="T11" s="54"/>
      <c r="U11" s="6"/>
      <c r="V11" s="10"/>
    </row>
    <row r="12" spans="2:22" x14ac:dyDescent="0.25">
      <c r="B12" s="10"/>
      <c r="C12" s="4"/>
      <c r="D12" s="54"/>
      <c r="E12" s="54"/>
      <c r="F12" s="54"/>
      <c r="G12" s="54"/>
      <c r="H12" s="54"/>
      <c r="I12" s="54"/>
      <c r="J12" s="54"/>
      <c r="K12" s="54"/>
      <c r="L12" s="54"/>
      <c r="M12" s="54"/>
      <c r="N12" s="54"/>
      <c r="O12" s="54"/>
      <c r="P12" s="54"/>
      <c r="Q12" s="54"/>
      <c r="R12" s="54"/>
      <c r="S12" s="54"/>
      <c r="T12" s="54"/>
      <c r="U12" s="6"/>
      <c r="V12" s="10"/>
    </row>
    <row r="13" spans="2:22" x14ac:dyDescent="0.25">
      <c r="B13" s="10"/>
      <c r="C13" s="4"/>
      <c r="D13" s="54"/>
      <c r="E13" s="54"/>
      <c r="F13" s="54"/>
      <c r="G13" s="54"/>
      <c r="H13" s="54"/>
      <c r="I13" s="54"/>
      <c r="J13" s="54"/>
      <c r="K13" s="54"/>
      <c r="L13" s="54"/>
      <c r="M13" s="54"/>
      <c r="N13" s="54"/>
      <c r="O13" s="54"/>
      <c r="P13" s="54"/>
      <c r="Q13" s="54"/>
      <c r="R13" s="54"/>
      <c r="S13" s="54"/>
      <c r="T13" s="54"/>
      <c r="U13" s="6"/>
      <c r="V13" s="10"/>
    </row>
    <row r="14" spans="2:22" x14ac:dyDescent="0.25">
      <c r="B14" s="10"/>
      <c r="C14" s="4"/>
      <c r="D14" s="54"/>
      <c r="E14" s="54"/>
      <c r="F14" s="54"/>
      <c r="G14" s="54"/>
      <c r="H14" s="54"/>
      <c r="I14" s="54"/>
      <c r="J14" s="54"/>
      <c r="K14" s="54"/>
      <c r="L14" s="54"/>
      <c r="M14" s="54"/>
      <c r="N14" s="54"/>
      <c r="O14" s="54"/>
      <c r="P14" s="54"/>
      <c r="Q14" s="54"/>
      <c r="R14" s="54"/>
      <c r="S14" s="54"/>
      <c r="T14" s="54"/>
      <c r="U14" s="6"/>
      <c r="V14" s="10"/>
    </row>
    <row r="15" spans="2:22" x14ac:dyDescent="0.25">
      <c r="B15" s="10"/>
      <c r="C15" s="4"/>
      <c r="D15" s="54"/>
      <c r="E15" s="54"/>
      <c r="F15" s="54"/>
      <c r="G15" s="54"/>
      <c r="H15" s="54"/>
      <c r="I15" s="54"/>
      <c r="J15" s="54"/>
      <c r="K15" s="54"/>
      <c r="L15" s="54"/>
      <c r="M15" s="54"/>
      <c r="N15" s="54"/>
      <c r="O15" s="54"/>
      <c r="P15" s="54"/>
      <c r="Q15" s="54"/>
      <c r="R15" s="54"/>
      <c r="S15" s="54"/>
      <c r="T15" s="54"/>
      <c r="U15" s="6"/>
      <c r="V15" s="10"/>
    </row>
    <row r="16" spans="2:22" x14ac:dyDescent="0.25">
      <c r="B16" s="10"/>
      <c r="C16" s="4"/>
      <c r="D16" s="54"/>
      <c r="E16" s="54"/>
      <c r="F16" s="54"/>
      <c r="G16" s="54"/>
      <c r="H16" s="54"/>
      <c r="I16" s="54"/>
      <c r="J16" s="54"/>
      <c r="K16" s="54"/>
      <c r="L16" s="54"/>
      <c r="M16" s="54"/>
      <c r="N16" s="54"/>
      <c r="O16" s="54"/>
      <c r="P16" s="54"/>
      <c r="Q16" s="54"/>
      <c r="R16" s="54"/>
      <c r="S16" s="54"/>
      <c r="T16" s="54"/>
      <c r="U16" s="6"/>
      <c r="V16" s="10"/>
    </row>
    <row r="17" spans="2:22" x14ac:dyDescent="0.25">
      <c r="B17" s="10"/>
      <c r="C17" s="4"/>
      <c r="D17" s="54"/>
      <c r="E17" s="54"/>
      <c r="F17" s="54"/>
      <c r="G17" s="54"/>
      <c r="H17" s="54"/>
      <c r="I17" s="54"/>
      <c r="J17" s="54"/>
      <c r="K17" s="54"/>
      <c r="L17" s="54"/>
      <c r="M17" s="54"/>
      <c r="N17" s="54"/>
      <c r="O17" s="54"/>
      <c r="P17" s="54"/>
      <c r="Q17" s="54"/>
      <c r="R17" s="54"/>
      <c r="S17" s="54"/>
      <c r="T17" s="54"/>
      <c r="U17" s="6"/>
      <c r="V17" s="10"/>
    </row>
    <row r="18" spans="2:22" x14ac:dyDescent="0.25">
      <c r="B18" s="10"/>
      <c r="C18" s="4"/>
      <c r="D18" s="54"/>
      <c r="E18" s="54"/>
      <c r="F18" s="54"/>
      <c r="G18" s="54"/>
      <c r="H18" s="54"/>
      <c r="I18" s="54"/>
      <c r="J18" s="54"/>
      <c r="K18" s="54"/>
      <c r="L18" s="54"/>
      <c r="M18" s="54"/>
      <c r="N18" s="54"/>
      <c r="O18" s="54"/>
      <c r="P18" s="54"/>
      <c r="Q18" s="54"/>
      <c r="R18" s="54"/>
      <c r="S18" s="54"/>
      <c r="T18" s="54"/>
      <c r="U18" s="6"/>
      <c r="V18" s="10"/>
    </row>
    <row r="19" spans="2:22" x14ac:dyDescent="0.25">
      <c r="B19" s="10"/>
      <c r="C19" s="4"/>
      <c r="D19" s="54"/>
      <c r="E19" s="54"/>
      <c r="F19" s="54"/>
      <c r="G19" s="54"/>
      <c r="H19" s="54"/>
      <c r="I19" s="54"/>
      <c r="J19" s="54"/>
      <c r="K19" s="54"/>
      <c r="L19" s="54"/>
      <c r="M19" s="54"/>
      <c r="N19" s="54"/>
      <c r="O19" s="54"/>
      <c r="P19" s="54"/>
      <c r="Q19" s="54"/>
      <c r="R19" s="54"/>
      <c r="S19" s="54"/>
      <c r="T19" s="54"/>
      <c r="U19" s="6"/>
      <c r="V19" s="10"/>
    </row>
    <row r="20" spans="2:22" x14ac:dyDescent="0.25">
      <c r="B20" s="10"/>
      <c r="C20" s="4"/>
      <c r="D20" s="54"/>
      <c r="E20" s="54"/>
      <c r="F20" s="54"/>
      <c r="G20" s="54"/>
      <c r="H20" s="54"/>
      <c r="I20" s="54"/>
      <c r="J20" s="54"/>
      <c r="K20" s="54"/>
      <c r="L20" s="54"/>
      <c r="M20" s="54"/>
      <c r="N20" s="54"/>
      <c r="O20" s="54"/>
      <c r="P20" s="54"/>
      <c r="Q20" s="54"/>
      <c r="R20" s="54"/>
      <c r="S20" s="54"/>
      <c r="T20" s="54"/>
      <c r="U20" s="6"/>
      <c r="V20" s="10"/>
    </row>
    <row r="21" spans="2:22" x14ac:dyDescent="0.25">
      <c r="B21" s="10"/>
      <c r="C21" s="4"/>
      <c r="D21" s="54"/>
      <c r="E21" s="54"/>
      <c r="F21" s="54"/>
      <c r="G21" s="54"/>
      <c r="H21" s="54"/>
      <c r="I21" s="54"/>
      <c r="J21" s="54"/>
      <c r="K21" s="54"/>
      <c r="L21" s="54"/>
      <c r="M21" s="54"/>
      <c r="N21" s="54"/>
      <c r="O21" s="54"/>
      <c r="P21" s="54"/>
      <c r="Q21" s="54"/>
      <c r="R21" s="54"/>
      <c r="S21" s="54"/>
      <c r="T21" s="54"/>
      <c r="U21" s="6"/>
      <c r="V21" s="10"/>
    </row>
    <row r="22" spans="2:22" x14ac:dyDescent="0.25">
      <c r="B22" s="10"/>
      <c r="C22" s="4"/>
      <c r="D22" s="54"/>
      <c r="E22" s="54"/>
      <c r="F22" s="54"/>
      <c r="G22" s="54"/>
      <c r="H22" s="54"/>
      <c r="I22" s="54"/>
      <c r="J22" s="54"/>
      <c r="K22" s="54"/>
      <c r="L22" s="54"/>
      <c r="M22" s="54"/>
      <c r="N22" s="54"/>
      <c r="O22" s="54"/>
      <c r="P22" s="54"/>
      <c r="Q22" s="54"/>
      <c r="R22" s="54"/>
      <c r="S22" s="54"/>
      <c r="T22" s="54"/>
      <c r="U22" s="6"/>
      <c r="V22" s="10"/>
    </row>
    <row r="23" spans="2:22" x14ac:dyDescent="0.25">
      <c r="B23" s="10"/>
      <c r="C23" s="4"/>
      <c r="D23" s="54"/>
      <c r="E23" s="54"/>
      <c r="F23" s="54"/>
      <c r="G23" s="54"/>
      <c r="H23" s="54"/>
      <c r="I23" s="54"/>
      <c r="J23" s="54"/>
      <c r="K23" s="54"/>
      <c r="L23" s="54"/>
      <c r="M23" s="54"/>
      <c r="N23" s="54"/>
      <c r="O23" s="54"/>
      <c r="P23" s="54"/>
      <c r="Q23" s="54"/>
      <c r="R23" s="54"/>
      <c r="S23" s="54"/>
      <c r="T23" s="54"/>
      <c r="U23" s="6"/>
      <c r="V23" s="10"/>
    </row>
    <row r="24" spans="2:22" x14ac:dyDescent="0.25">
      <c r="B24" s="10"/>
      <c r="C24" s="4"/>
      <c r="D24" s="54"/>
      <c r="E24" s="54"/>
      <c r="F24" s="54"/>
      <c r="G24" s="54"/>
      <c r="H24" s="54"/>
      <c r="I24" s="54"/>
      <c r="J24" s="54"/>
      <c r="K24" s="54"/>
      <c r="L24" s="54"/>
      <c r="M24" s="54"/>
      <c r="N24" s="54"/>
      <c r="O24" s="54"/>
      <c r="P24" s="54"/>
      <c r="Q24" s="54"/>
      <c r="R24" s="54"/>
      <c r="S24" s="54"/>
      <c r="T24" s="54"/>
      <c r="U24" s="6"/>
      <c r="V24" s="10"/>
    </row>
    <row r="25" spans="2:22" x14ac:dyDescent="0.25">
      <c r="B25" s="10"/>
      <c r="C25" s="4"/>
      <c r="D25" s="54"/>
      <c r="E25" s="54"/>
      <c r="F25" s="54"/>
      <c r="G25" s="54"/>
      <c r="H25" s="54"/>
      <c r="I25" s="54"/>
      <c r="J25" s="54"/>
      <c r="K25" s="54"/>
      <c r="L25" s="54"/>
      <c r="M25" s="54"/>
      <c r="N25" s="54"/>
      <c r="O25" s="54"/>
      <c r="P25" s="54"/>
      <c r="Q25" s="54"/>
      <c r="R25" s="54"/>
      <c r="S25" s="54"/>
      <c r="T25" s="54"/>
      <c r="U25" s="6"/>
      <c r="V25" s="10"/>
    </row>
    <row r="26" spans="2:22" x14ac:dyDescent="0.25">
      <c r="B26" s="10"/>
      <c r="C26" s="4"/>
      <c r="D26" s="54"/>
      <c r="E26" s="54"/>
      <c r="F26" s="54"/>
      <c r="G26" s="54"/>
      <c r="H26" s="54"/>
      <c r="I26" s="54"/>
      <c r="J26" s="54"/>
      <c r="K26" s="54"/>
      <c r="L26" s="54"/>
      <c r="M26" s="54"/>
      <c r="N26" s="54"/>
      <c r="O26" s="54"/>
      <c r="P26" s="54"/>
      <c r="Q26" s="54"/>
      <c r="R26" s="54"/>
      <c r="S26" s="54"/>
      <c r="T26" s="54"/>
      <c r="U26" s="6"/>
      <c r="V26" s="10"/>
    </row>
    <row r="27" spans="2:22" x14ac:dyDescent="0.25">
      <c r="B27" s="10"/>
      <c r="C27" s="4"/>
      <c r="D27" s="54"/>
      <c r="E27" s="54"/>
      <c r="F27" s="54"/>
      <c r="G27" s="54"/>
      <c r="H27" s="54"/>
      <c r="I27" s="54"/>
      <c r="J27" s="54"/>
      <c r="K27" s="54"/>
      <c r="L27" s="54"/>
      <c r="M27" s="54"/>
      <c r="N27" s="54"/>
      <c r="O27" s="54"/>
      <c r="P27" s="54"/>
      <c r="Q27" s="54"/>
      <c r="R27" s="54"/>
      <c r="S27" s="54"/>
      <c r="T27" s="54"/>
      <c r="U27" s="6"/>
      <c r="V27" s="10"/>
    </row>
    <row r="28" spans="2:22" x14ac:dyDescent="0.25">
      <c r="B28" s="10"/>
      <c r="C28" s="4"/>
      <c r="D28" s="54"/>
      <c r="E28" s="54"/>
      <c r="F28" s="54"/>
      <c r="G28" s="54"/>
      <c r="H28" s="54"/>
      <c r="I28" s="54"/>
      <c r="J28" s="54"/>
      <c r="K28" s="54"/>
      <c r="L28" s="54"/>
      <c r="M28" s="54"/>
      <c r="N28" s="54"/>
      <c r="O28" s="54"/>
      <c r="P28" s="54"/>
      <c r="Q28" s="54"/>
      <c r="R28" s="54"/>
      <c r="S28" s="54"/>
      <c r="T28" s="54"/>
      <c r="U28" s="6"/>
      <c r="V28" s="10"/>
    </row>
    <row r="29" spans="2:22" x14ac:dyDescent="0.25">
      <c r="B29" s="10"/>
      <c r="C29" s="4"/>
      <c r="D29" s="54"/>
      <c r="E29" s="54"/>
      <c r="F29" s="54"/>
      <c r="G29" s="54"/>
      <c r="H29" s="54"/>
      <c r="I29" s="54"/>
      <c r="J29" s="54"/>
      <c r="K29" s="54"/>
      <c r="L29" s="54"/>
      <c r="M29" s="54"/>
      <c r="N29" s="54"/>
      <c r="O29" s="54"/>
      <c r="P29" s="54"/>
      <c r="Q29" s="54"/>
      <c r="R29" s="54"/>
      <c r="S29" s="54"/>
      <c r="T29" s="54"/>
      <c r="U29" s="6"/>
      <c r="V29" s="10"/>
    </row>
    <row r="30" spans="2:22" ht="15.75" thickBot="1" x14ac:dyDescent="0.3">
      <c r="B30" s="10"/>
      <c r="C30" s="7"/>
      <c r="D30" s="8"/>
      <c r="E30" s="8"/>
      <c r="F30" s="8"/>
      <c r="G30" s="8"/>
      <c r="H30" s="8"/>
      <c r="I30" s="8"/>
      <c r="J30" s="8"/>
      <c r="K30" s="8"/>
      <c r="L30" s="8"/>
      <c r="M30" s="8"/>
      <c r="N30" s="8"/>
      <c r="O30" s="8"/>
      <c r="P30" s="8"/>
      <c r="Q30" s="8"/>
      <c r="R30" s="8"/>
      <c r="S30" s="8"/>
      <c r="T30" s="8"/>
      <c r="U30" s="9"/>
      <c r="V30" s="10"/>
    </row>
    <row r="31" spans="2:22" x14ac:dyDescent="0.25">
      <c r="B31" s="10"/>
      <c r="C31" s="10"/>
      <c r="D31" s="10"/>
      <c r="E31" s="10"/>
      <c r="F31" s="10"/>
      <c r="G31" s="10"/>
      <c r="H31" s="10"/>
      <c r="I31" s="10"/>
      <c r="J31" s="10"/>
      <c r="K31" s="10"/>
      <c r="L31" s="10"/>
      <c r="M31" s="10"/>
      <c r="N31" s="10"/>
      <c r="O31" s="10"/>
      <c r="P31" s="10"/>
      <c r="Q31" s="10"/>
      <c r="R31" s="10"/>
      <c r="S31" s="10"/>
      <c r="T31" s="10"/>
      <c r="U31" s="10"/>
      <c r="V31" s="10"/>
    </row>
  </sheetData>
  <mergeCells count="9">
    <mergeCell ref="T2:U6"/>
    <mergeCell ref="D8:E8"/>
    <mergeCell ref="C2:I6"/>
    <mergeCell ref="J2:K6"/>
    <mergeCell ref="L2:M6"/>
    <mergeCell ref="N2:O6"/>
    <mergeCell ref="P2:Q6"/>
    <mergeCell ref="R2:S6"/>
    <mergeCell ref="F8:H8"/>
  </mergeCells>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PengKa"/>
  <dimension ref="A1:V31"/>
  <sheetViews>
    <sheetView showGridLines="0" showRowColHeaders="0" tabSelected="1" topLeftCell="B1" zoomScaleNormal="100" workbookViewId="0">
      <selection activeCell="B1" sqref="B1"/>
    </sheetView>
  </sheetViews>
  <sheetFormatPr defaultColWidth="0" defaultRowHeight="15" customHeight="1" zeroHeight="1" x14ac:dyDescent="0.25"/>
  <cols>
    <col min="1" max="1" width="0" hidden="1" customWidth="1"/>
    <col min="2" max="2" width="5.7109375" customWidth="1"/>
    <col min="3" max="8" width="9.140625" customWidth="1"/>
    <col min="9" max="9" width="8" customWidth="1"/>
    <col min="10" max="10" width="9.28515625" customWidth="1"/>
    <col min="11" max="11" width="8.42578125" customWidth="1"/>
    <col min="12" max="12" width="9.42578125" customWidth="1"/>
    <col min="13" max="13" width="8.28515625" customWidth="1"/>
    <col min="14" max="14" width="9.5703125" customWidth="1"/>
    <col min="15" max="15" width="8.28515625" customWidth="1"/>
    <col min="16" max="16" width="9.140625" customWidth="1"/>
    <col min="17" max="17" width="8" customWidth="1"/>
    <col min="18" max="18" width="9.140625" customWidth="1"/>
    <col min="19" max="19" width="8.42578125" customWidth="1"/>
    <col min="20" max="20" width="9.140625" customWidth="1"/>
    <col min="21" max="21" width="9" customWidth="1"/>
    <col min="22" max="22" width="5.7109375" customWidth="1"/>
    <col min="23" max="16384" width="9.140625" hidden="1"/>
  </cols>
  <sheetData>
    <row r="1" spans="2:22" ht="15.75" thickBot="1" x14ac:dyDescent="0.3">
      <c r="B1" s="49"/>
      <c r="C1" s="49"/>
      <c r="D1" s="49"/>
      <c r="E1" s="49"/>
      <c r="F1" s="49"/>
      <c r="G1" s="49"/>
      <c r="H1" s="49"/>
      <c r="I1" s="49"/>
      <c r="J1" s="49"/>
      <c r="K1" s="49"/>
      <c r="L1" s="49"/>
      <c r="M1" s="49"/>
      <c r="N1" s="49"/>
      <c r="O1" s="49"/>
      <c r="P1" s="49"/>
      <c r="Q1" s="49"/>
      <c r="R1" s="49"/>
      <c r="S1" s="49"/>
      <c r="T1" s="49"/>
      <c r="U1" s="49"/>
      <c r="V1" s="49"/>
    </row>
    <row r="2" spans="2:22" x14ac:dyDescent="0.25">
      <c r="B2" s="49"/>
      <c r="C2" s="118"/>
      <c r="D2" s="119"/>
      <c r="E2" s="119"/>
      <c r="F2" s="119"/>
      <c r="G2" s="119"/>
      <c r="H2" s="119"/>
      <c r="I2" s="119"/>
      <c r="J2" s="117" t="s">
        <v>648</v>
      </c>
      <c r="K2" s="117"/>
      <c r="L2" s="117" t="s">
        <v>647</v>
      </c>
      <c r="M2" s="117"/>
      <c r="N2" s="117" t="s">
        <v>641</v>
      </c>
      <c r="O2" s="117"/>
      <c r="P2" s="117" t="s">
        <v>642</v>
      </c>
      <c r="Q2" s="117"/>
      <c r="R2" s="117" t="s">
        <v>643</v>
      </c>
      <c r="S2" s="117"/>
      <c r="T2" s="116" t="s">
        <v>644</v>
      </c>
      <c r="U2" s="116"/>
      <c r="V2" s="49"/>
    </row>
    <row r="3" spans="2:22" x14ac:dyDescent="0.25">
      <c r="B3" s="49"/>
      <c r="C3" s="120"/>
      <c r="D3" s="121"/>
      <c r="E3" s="121"/>
      <c r="F3" s="121"/>
      <c r="G3" s="121"/>
      <c r="H3" s="121"/>
      <c r="I3" s="121"/>
      <c r="J3" s="117"/>
      <c r="K3" s="117"/>
      <c r="L3" s="117"/>
      <c r="M3" s="117"/>
      <c r="N3" s="117"/>
      <c r="O3" s="117"/>
      <c r="P3" s="117"/>
      <c r="Q3" s="117"/>
      <c r="R3" s="117"/>
      <c r="S3" s="117"/>
      <c r="T3" s="116"/>
      <c r="U3" s="116"/>
      <c r="V3" s="49"/>
    </row>
    <row r="4" spans="2:22" x14ac:dyDescent="0.25">
      <c r="B4" s="49"/>
      <c r="C4" s="120"/>
      <c r="D4" s="121"/>
      <c r="E4" s="121"/>
      <c r="F4" s="121"/>
      <c r="G4" s="121"/>
      <c r="H4" s="121"/>
      <c r="I4" s="121"/>
      <c r="J4" s="117"/>
      <c r="K4" s="117"/>
      <c r="L4" s="117"/>
      <c r="M4" s="117"/>
      <c r="N4" s="117"/>
      <c r="O4" s="117"/>
      <c r="P4" s="117"/>
      <c r="Q4" s="117"/>
      <c r="R4" s="117"/>
      <c r="S4" s="117"/>
      <c r="T4" s="116"/>
      <c r="U4" s="116"/>
      <c r="V4" s="49"/>
    </row>
    <row r="5" spans="2:22" x14ac:dyDescent="0.25">
      <c r="B5" s="49"/>
      <c r="C5" s="120"/>
      <c r="D5" s="121"/>
      <c r="E5" s="121"/>
      <c r="F5" s="121"/>
      <c r="G5" s="121"/>
      <c r="H5" s="121"/>
      <c r="I5" s="121"/>
      <c r="J5" s="117"/>
      <c r="K5" s="117"/>
      <c r="L5" s="117"/>
      <c r="M5" s="117"/>
      <c r="N5" s="117"/>
      <c r="O5" s="117"/>
      <c r="P5" s="117"/>
      <c r="Q5" s="117"/>
      <c r="R5" s="117"/>
      <c r="S5" s="117"/>
      <c r="T5" s="116"/>
      <c r="U5" s="116"/>
      <c r="V5" s="49"/>
    </row>
    <row r="6" spans="2:22" x14ac:dyDescent="0.25">
      <c r="B6" s="49"/>
      <c r="C6" s="120"/>
      <c r="D6" s="121"/>
      <c r="E6" s="121"/>
      <c r="F6" s="121"/>
      <c r="G6" s="121"/>
      <c r="H6" s="121"/>
      <c r="I6" s="121"/>
      <c r="J6" s="117"/>
      <c r="K6" s="117"/>
      <c r="L6" s="117"/>
      <c r="M6" s="117"/>
      <c r="N6" s="117"/>
      <c r="O6" s="117"/>
      <c r="P6" s="117"/>
      <c r="Q6" s="117"/>
      <c r="R6" s="117"/>
      <c r="S6" s="117"/>
      <c r="T6" s="116"/>
      <c r="U6" s="116"/>
      <c r="V6" s="49"/>
    </row>
    <row r="7" spans="2:22" x14ac:dyDescent="0.25">
      <c r="B7" s="49"/>
      <c r="C7" s="50"/>
      <c r="D7" s="51"/>
      <c r="E7" s="51"/>
      <c r="F7" s="51"/>
      <c r="G7" s="51"/>
      <c r="H7" s="51"/>
      <c r="I7" s="51"/>
      <c r="J7" s="51"/>
      <c r="K7" s="51"/>
      <c r="L7" s="51"/>
      <c r="M7" s="51"/>
      <c r="N7" s="51"/>
      <c r="O7" s="51"/>
      <c r="P7" s="51"/>
      <c r="Q7" s="51"/>
      <c r="R7" s="51"/>
      <c r="S7" s="51"/>
      <c r="T7" s="51"/>
      <c r="U7" s="52"/>
      <c r="V7" s="49"/>
    </row>
    <row r="8" spans="2:22" ht="15" customHeight="1" x14ac:dyDescent="0.25">
      <c r="B8" s="49"/>
      <c r="C8" s="50"/>
      <c r="D8" s="117" t="s">
        <v>867</v>
      </c>
      <c r="E8" s="117"/>
      <c r="F8" s="116" t="s">
        <v>868</v>
      </c>
      <c r="G8" s="116"/>
      <c r="H8" s="116"/>
      <c r="I8" s="51"/>
      <c r="J8" s="51"/>
      <c r="K8" s="51"/>
      <c r="L8" s="51"/>
      <c r="M8" s="51"/>
      <c r="N8" s="51"/>
      <c r="O8" s="51"/>
      <c r="P8" s="51"/>
      <c r="Q8" s="51"/>
      <c r="R8" s="51"/>
      <c r="S8" s="51"/>
      <c r="T8" s="51"/>
      <c r="U8" s="52"/>
      <c r="V8" s="49"/>
    </row>
    <row r="9" spans="2:22" x14ac:dyDescent="0.25">
      <c r="B9" s="10"/>
      <c r="C9" s="4"/>
      <c r="D9" s="5"/>
      <c r="E9" s="5"/>
      <c r="F9" s="5"/>
      <c r="G9" s="5"/>
      <c r="H9" s="5"/>
      <c r="I9" s="5"/>
      <c r="J9" s="5"/>
      <c r="K9" s="5"/>
      <c r="L9" s="5"/>
      <c r="M9" s="5"/>
      <c r="N9" s="5"/>
      <c r="O9" s="5"/>
      <c r="P9" s="5"/>
      <c r="Q9" s="5"/>
      <c r="R9" s="5"/>
      <c r="S9" s="5"/>
      <c r="T9" s="5"/>
      <c r="U9" s="6"/>
      <c r="V9" s="10"/>
    </row>
    <row r="10" spans="2:22" x14ac:dyDescent="0.25">
      <c r="B10" s="10"/>
      <c r="C10" s="4"/>
      <c r="D10" s="5"/>
      <c r="E10" s="5"/>
      <c r="F10" s="5"/>
      <c r="G10" s="5"/>
      <c r="H10" s="5"/>
      <c r="I10" s="5"/>
      <c r="J10" s="5"/>
      <c r="K10" s="5"/>
      <c r="L10" s="5"/>
      <c r="M10" s="5"/>
      <c r="N10" s="5"/>
      <c r="O10" s="5"/>
      <c r="P10" s="5"/>
      <c r="Q10" s="5"/>
      <c r="R10" s="5"/>
      <c r="S10" s="5"/>
      <c r="T10" s="5"/>
      <c r="U10" s="6"/>
      <c r="V10" s="10"/>
    </row>
    <row r="11" spans="2:22" x14ac:dyDescent="0.25">
      <c r="B11" s="10"/>
      <c r="C11" s="4"/>
      <c r="D11" s="5"/>
      <c r="E11" s="5"/>
      <c r="F11" s="5"/>
      <c r="G11" s="5"/>
      <c r="H11" s="5"/>
      <c r="I11" s="5"/>
      <c r="J11" s="5"/>
      <c r="K11" s="5"/>
      <c r="L11" s="5"/>
      <c r="M11" s="5"/>
      <c r="N11" s="5"/>
      <c r="O11" s="5"/>
      <c r="P11" s="5"/>
      <c r="Q11" s="5"/>
      <c r="R11" s="5"/>
      <c r="S11" s="5"/>
      <c r="T11" s="5"/>
      <c r="U11" s="6"/>
      <c r="V11" s="10"/>
    </row>
    <row r="12" spans="2:22" x14ac:dyDescent="0.25">
      <c r="B12" s="10"/>
      <c r="C12" s="4"/>
      <c r="D12" s="5"/>
      <c r="E12" s="5"/>
      <c r="F12" s="5"/>
      <c r="G12" s="5"/>
      <c r="H12" s="5"/>
      <c r="I12" s="5"/>
      <c r="J12" s="5"/>
      <c r="K12" s="5"/>
      <c r="L12" s="5"/>
      <c r="M12" s="5"/>
      <c r="N12" s="5"/>
      <c r="O12" s="5"/>
      <c r="P12" s="5"/>
      <c r="Q12" s="5"/>
      <c r="R12" s="5"/>
      <c r="S12" s="5"/>
      <c r="T12" s="5"/>
      <c r="U12" s="6"/>
      <c r="V12" s="10"/>
    </row>
    <row r="13" spans="2:22" x14ac:dyDescent="0.25">
      <c r="B13" s="10"/>
      <c r="C13" s="4"/>
      <c r="D13" s="5"/>
      <c r="E13" s="5"/>
      <c r="F13" s="5"/>
      <c r="G13" s="5"/>
      <c r="H13" s="5"/>
      <c r="I13" s="5"/>
      <c r="J13" s="5"/>
      <c r="K13" s="5"/>
      <c r="L13" s="5"/>
      <c r="M13" s="5"/>
      <c r="N13" s="5"/>
      <c r="O13" s="5"/>
      <c r="P13" s="5"/>
      <c r="Q13" s="5"/>
      <c r="R13" s="5"/>
      <c r="S13" s="5"/>
      <c r="T13" s="5"/>
      <c r="U13" s="6"/>
      <c r="V13" s="10"/>
    </row>
    <row r="14" spans="2:22" x14ac:dyDescent="0.25">
      <c r="B14" s="10"/>
      <c r="C14" s="4"/>
      <c r="D14" s="5"/>
      <c r="E14" s="5"/>
      <c r="F14" s="5"/>
      <c r="G14" s="5"/>
      <c r="H14" s="5"/>
      <c r="I14" s="5"/>
      <c r="J14" s="5"/>
      <c r="K14" s="5"/>
      <c r="L14" s="5"/>
      <c r="M14" s="5"/>
      <c r="N14" s="5"/>
      <c r="O14" s="5"/>
      <c r="P14" s="5"/>
      <c r="Q14" s="5"/>
      <c r="R14" s="5"/>
      <c r="S14" s="5"/>
      <c r="T14" s="5"/>
      <c r="U14" s="6"/>
      <c r="V14" s="10"/>
    </row>
    <row r="15" spans="2:22" x14ac:dyDescent="0.25">
      <c r="B15" s="10"/>
      <c r="C15" s="4"/>
      <c r="D15" s="5"/>
      <c r="E15" s="5"/>
      <c r="F15" s="5"/>
      <c r="G15" s="5"/>
      <c r="H15" s="5"/>
      <c r="I15" s="5"/>
      <c r="J15" s="5"/>
      <c r="K15" s="5"/>
      <c r="L15" s="5"/>
      <c r="M15" s="5"/>
      <c r="N15" s="5"/>
      <c r="O15" s="5"/>
      <c r="P15" s="5"/>
      <c r="Q15" s="5"/>
      <c r="R15" s="5"/>
      <c r="S15" s="5"/>
      <c r="T15" s="5"/>
      <c r="U15" s="6"/>
      <c r="V15" s="10"/>
    </row>
    <row r="16" spans="2:22" x14ac:dyDescent="0.25">
      <c r="B16" s="10"/>
      <c r="C16" s="4"/>
      <c r="D16" s="5"/>
      <c r="E16" s="5"/>
      <c r="F16" s="5"/>
      <c r="G16" s="5"/>
      <c r="H16" s="5"/>
      <c r="I16" s="5"/>
      <c r="J16" s="5"/>
      <c r="K16" s="5"/>
      <c r="L16" s="5"/>
      <c r="M16" s="5"/>
      <c r="N16" s="5"/>
      <c r="O16" s="5"/>
      <c r="P16" s="5"/>
      <c r="Q16" s="5"/>
      <c r="R16" s="5"/>
      <c r="S16" s="5"/>
      <c r="T16" s="5"/>
      <c r="U16" s="6"/>
      <c r="V16" s="10"/>
    </row>
    <row r="17" spans="2:22" x14ac:dyDescent="0.25">
      <c r="B17" s="10"/>
      <c r="C17" s="4"/>
      <c r="D17" s="5"/>
      <c r="E17" s="5"/>
      <c r="F17" s="5"/>
      <c r="G17" s="5"/>
      <c r="H17" s="5"/>
      <c r="I17" s="5"/>
      <c r="J17" s="5"/>
      <c r="K17" s="5"/>
      <c r="L17" s="5"/>
      <c r="M17" s="5"/>
      <c r="N17" s="5"/>
      <c r="O17" s="5"/>
      <c r="P17" s="5"/>
      <c r="Q17" s="5"/>
      <c r="R17" s="5"/>
      <c r="S17" s="5"/>
      <c r="T17" s="5"/>
      <c r="U17" s="6"/>
      <c r="V17" s="10"/>
    </row>
    <row r="18" spans="2:22" x14ac:dyDescent="0.25">
      <c r="B18" s="10"/>
      <c r="C18" s="4"/>
      <c r="D18" s="5"/>
      <c r="E18" s="5"/>
      <c r="F18" s="5"/>
      <c r="G18" s="5"/>
      <c r="H18" s="5"/>
      <c r="I18" s="5"/>
      <c r="J18" s="5"/>
      <c r="K18" s="5"/>
      <c r="L18" s="5"/>
      <c r="M18" s="5"/>
      <c r="N18" s="5"/>
      <c r="O18" s="5"/>
      <c r="P18" s="5"/>
      <c r="Q18" s="5"/>
      <c r="R18" s="5"/>
      <c r="S18" s="5"/>
      <c r="T18" s="5"/>
      <c r="U18" s="6"/>
      <c r="V18" s="10"/>
    </row>
    <row r="19" spans="2:22" x14ac:dyDescent="0.25">
      <c r="B19" s="10"/>
      <c r="C19" s="4"/>
      <c r="D19" s="5"/>
      <c r="E19" s="5"/>
      <c r="F19" s="5"/>
      <c r="G19" s="5"/>
      <c r="H19" s="5"/>
      <c r="I19" s="5"/>
      <c r="J19" s="5"/>
      <c r="K19" s="5"/>
      <c r="L19" s="5"/>
      <c r="M19" s="5"/>
      <c r="N19" s="5"/>
      <c r="O19" s="5"/>
      <c r="P19" s="5"/>
      <c r="Q19" s="5"/>
      <c r="R19" s="5"/>
      <c r="S19" s="5"/>
      <c r="T19" s="5"/>
      <c r="U19" s="6"/>
      <c r="V19" s="10"/>
    </row>
    <row r="20" spans="2:22" x14ac:dyDescent="0.25">
      <c r="B20" s="10"/>
      <c r="C20" s="4"/>
      <c r="D20" s="5"/>
      <c r="E20" s="5"/>
      <c r="F20" s="5"/>
      <c r="G20" s="5"/>
      <c r="H20" s="5"/>
      <c r="I20" s="5"/>
      <c r="J20" s="5"/>
      <c r="K20" s="5"/>
      <c r="L20" s="5"/>
      <c r="M20" s="5"/>
      <c r="N20" s="5"/>
      <c r="O20" s="5"/>
      <c r="P20" s="5"/>
      <c r="Q20" s="5"/>
      <c r="R20" s="5"/>
      <c r="S20" s="5"/>
      <c r="T20" s="5"/>
      <c r="U20" s="6"/>
      <c r="V20" s="10"/>
    </row>
    <row r="21" spans="2:22" x14ac:dyDescent="0.25">
      <c r="B21" s="10"/>
      <c r="C21" s="4"/>
      <c r="D21" s="5"/>
      <c r="E21" s="5"/>
      <c r="F21" s="5"/>
      <c r="G21" s="5"/>
      <c r="H21" s="5"/>
      <c r="I21" s="5"/>
      <c r="J21" s="5"/>
      <c r="K21" s="5"/>
      <c r="L21" s="5"/>
      <c r="M21" s="5"/>
      <c r="N21" s="5"/>
      <c r="O21" s="5"/>
      <c r="P21" s="5"/>
      <c r="Q21" s="5"/>
      <c r="R21" s="5"/>
      <c r="S21" s="5"/>
      <c r="T21" s="5"/>
      <c r="U21" s="6"/>
      <c r="V21" s="10"/>
    </row>
    <row r="22" spans="2:22" x14ac:dyDescent="0.25">
      <c r="B22" s="10"/>
      <c r="C22" s="4"/>
      <c r="D22" s="5"/>
      <c r="E22" s="5"/>
      <c r="F22" s="5"/>
      <c r="G22" s="5"/>
      <c r="H22" s="5"/>
      <c r="I22" s="5"/>
      <c r="J22" s="5"/>
      <c r="K22" s="5"/>
      <c r="L22" s="5"/>
      <c r="M22" s="5"/>
      <c r="N22" s="5"/>
      <c r="O22" s="5"/>
      <c r="P22" s="5"/>
      <c r="Q22" s="5"/>
      <c r="R22" s="5"/>
      <c r="S22" s="5"/>
      <c r="T22" s="5"/>
      <c r="U22" s="6"/>
      <c r="V22" s="10"/>
    </row>
    <row r="23" spans="2:22" x14ac:dyDescent="0.25">
      <c r="B23" s="10"/>
      <c r="C23" s="4"/>
      <c r="D23" s="5"/>
      <c r="E23" s="5"/>
      <c r="F23" s="5"/>
      <c r="G23" s="5"/>
      <c r="H23" s="5"/>
      <c r="I23" s="5"/>
      <c r="J23" s="5"/>
      <c r="K23" s="5"/>
      <c r="L23" s="5"/>
      <c r="M23" s="5"/>
      <c r="N23" s="5"/>
      <c r="O23" s="5"/>
      <c r="P23" s="5"/>
      <c r="Q23" s="5"/>
      <c r="R23" s="5"/>
      <c r="S23" s="5"/>
      <c r="T23" s="5"/>
      <c r="U23" s="6"/>
      <c r="V23" s="10"/>
    </row>
    <row r="24" spans="2:22" x14ac:dyDescent="0.25">
      <c r="B24" s="10"/>
      <c r="C24" s="4"/>
      <c r="D24" s="5"/>
      <c r="E24" s="5"/>
      <c r="F24" s="5"/>
      <c r="G24" s="5"/>
      <c r="H24" s="5"/>
      <c r="I24" s="5"/>
      <c r="J24" s="5"/>
      <c r="K24" s="5"/>
      <c r="L24" s="5"/>
      <c r="M24" s="5"/>
      <c r="N24" s="5"/>
      <c r="O24" s="5"/>
      <c r="P24" s="5"/>
      <c r="Q24" s="5"/>
      <c r="R24" s="5"/>
      <c r="S24" s="5"/>
      <c r="T24" s="5"/>
      <c r="U24" s="6"/>
      <c r="V24" s="10"/>
    </row>
    <row r="25" spans="2:22" x14ac:dyDescent="0.25">
      <c r="B25" s="10"/>
      <c r="C25" s="4"/>
      <c r="D25" s="5"/>
      <c r="E25" s="5"/>
      <c r="F25" s="5"/>
      <c r="G25" s="5"/>
      <c r="H25" s="5"/>
      <c r="I25" s="5"/>
      <c r="J25" s="5"/>
      <c r="K25" s="5"/>
      <c r="L25" s="5"/>
      <c r="M25" s="5"/>
      <c r="N25" s="5"/>
      <c r="O25" s="5"/>
      <c r="P25" s="5"/>
      <c r="Q25" s="5"/>
      <c r="R25" s="5"/>
      <c r="S25" s="5"/>
      <c r="T25" s="5"/>
      <c r="U25" s="6"/>
      <c r="V25" s="10"/>
    </row>
    <row r="26" spans="2:22" x14ac:dyDescent="0.25">
      <c r="B26" s="10"/>
      <c r="C26" s="4"/>
      <c r="D26" s="5"/>
      <c r="E26" s="5"/>
      <c r="F26" s="5"/>
      <c r="G26" s="5"/>
      <c r="H26" s="5"/>
      <c r="I26" s="5"/>
      <c r="J26" s="5"/>
      <c r="K26" s="5"/>
      <c r="L26" s="5"/>
      <c r="M26" s="5"/>
      <c r="N26" s="5"/>
      <c r="O26" s="5"/>
      <c r="P26" s="5"/>
      <c r="Q26" s="5"/>
      <c r="R26" s="5"/>
      <c r="S26" s="5"/>
      <c r="T26" s="5"/>
      <c r="U26" s="6"/>
      <c r="V26" s="10"/>
    </row>
    <row r="27" spans="2:22" x14ac:dyDescent="0.25">
      <c r="B27" s="10"/>
      <c r="C27" s="4"/>
      <c r="D27" s="5"/>
      <c r="E27" s="5"/>
      <c r="F27" s="5"/>
      <c r="G27" s="5"/>
      <c r="H27" s="5"/>
      <c r="I27" s="5"/>
      <c r="J27" s="5"/>
      <c r="K27" s="5"/>
      <c r="L27" s="5"/>
      <c r="M27" s="5"/>
      <c r="N27" s="5"/>
      <c r="O27" s="5"/>
      <c r="P27" s="5"/>
      <c r="Q27" s="5"/>
      <c r="R27" s="5"/>
      <c r="S27" s="5"/>
      <c r="T27" s="5"/>
      <c r="U27" s="6"/>
      <c r="V27" s="10"/>
    </row>
    <row r="28" spans="2:22" x14ac:dyDescent="0.25">
      <c r="B28" s="10"/>
      <c r="C28" s="4"/>
      <c r="D28" s="5"/>
      <c r="E28" s="5"/>
      <c r="F28" s="5"/>
      <c r="G28" s="5"/>
      <c r="H28" s="5"/>
      <c r="I28" s="5"/>
      <c r="J28" s="5"/>
      <c r="K28" s="5"/>
      <c r="L28" s="5"/>
      <c r="M28" s="5"/>
      <c r="N28" s="5"/>
      <c r="O28" s="5"/>
      <c r="P28" s="5"/>
      <c r="Q28" s="5"/>
      <c r="R28" s="5"/>
      <c r="S28" s="5"/>
      <c r="T28" s="5"/>
      <c r="U28" s="6"/>
      <c r="V28" s="10"/>
    </row>
    <row r="29" spans="2:22" x14ac:dyDescent="0.25">
      <c r="B29" s="10"/>
      <c r="C29" s="4"/>
      <c r="D29" s="5"/>
      <c r="E29" s="5"/>
      <c r="F29" s="5"/>
      <c r="G29" s="5"/>
      <c r="H29" s="5"/>
      <c r="I29" s="5"/>
      <c r="J29" s="5"/>
      <c r="K29" s="5"/>
      <c r="L29" s="5"/>
      <c r="M29" s="5"/>
      <c r="N29" s="5"/>
      <c r="O29" s="5"/>
      <c r="P29" s="5"/>
      <c r="Q29" s="5"/>
      <c r="R29" s="5"/>
      <c r="S29" s="5"/>
      <c r="T29" s="5"/>
      <c r="U29" s="6"/>
      <c r="V29" s="10"/>
    </row>
    <row r="30" spans="2:22" ht="15.75" thickBot="1" x14ac:dyDescent="0.3">
      <c r="B30" s="10"/>
      <c r="C30" s="7"/>
      <c r="D30" s="8"/>
      <c r="E30" s="8"/>
      <c r="F30" s="8"/>
      <c r="G30" s="8"/>
      <c r="H30" s="8"/>
      <c r="I30" s="8"/>
      <c r="J30" s="8"/>
      <c r="K30" s="8"/>
      <c r="L30" s="8"/>
      <c r="M30" s="8"/>
      <c r="N30" s="8"/>
      <c r="O30" s="8"/>
      <c r="P30" s="8"/>
      <c r="Q30" s="8"/>
      <c r="R30" s="8"/>
      <c r="S30" s="8"/>
      <c r="T30" s="8"/>
      <c r="U30" s="9"/>
      <c r="V30" s="10"/>
    </row>
    <row r="31" spans="2:22" x14ac:dyDescent="0.25">
      <c r="B31" s="10"/>
      <c r="C31" s="10"/>
      <c r="D31" s="10"/>
      <c r="E31" s="10"/>
      <c r="F31" s="10"/>
      <c r="G31" s="10"/>
      <c r="H31" s="10"/>
      <c r="I31" s="10"/>
      <c r="J31" s="10"/>
      <c r="K31" s="10"/>
      <c r="L31" s="10"/>
      <c r="M31" s="10"/>
      <c r="N31" s="10"/>
      <c r="O31" s="10"/>
      <c r="P31" s="10"/>
      <c r="Q31" s="10"/>
      <c r="R31" s="10"/>
      <c r="S31" s="10"/>
      <c r="T31" s="10"/>
      <c r="U31" s="10"/>
      <c r="V31" s="10"/>
    </row>
  </sheetData>
  <mergeCells count="9">
    <mergeCell ref="T2:U6"/>
    <mergeCell ref="D8:E8"/>
    <mergeCell ref="C2:I6"/>
    <mergeCell ref="J2:K6"/>
    <mergeCell ref="L2:M6"/>
    <mergeCell ref="N2:O6"/>
    <mergeCell ref="P2:Q6"/>
    <mergeCell ref="R2:S6"/>
    <mergeCell ref="F8:H8"/>
  </mergeCells>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A1:R201"/>
  <sheetViews>
    <sheetView showGridLines="0" showRowColHeaders="0" zoomScale="54" zoomScaleNormal="54" workbookViewId="0">
      <pane ySplit="1" topLeftCell="A93" activePane="bottomLeft" state="frozen"/>
      <selection pane="bottomLeft" activeCell="O1" sqref="O1"/>
    </sheetView>
  </sheetViews>
  <sheetFormatPr defaultColWidth="0" defaultRowHeight="15" x14ac:dyDescent="0.25"/>
  <cols>
    <col min="1" max="1" width="7.7109375" bestFit="1" customWidth="1"/>
    <col min="2" max="2" width="22.28515625" bestFit="1" customWidth="1"/>
    <col min="3" max="3" width="19.5703125" bestFit="1" customWidth="1"/>
    <col min="4" max="4" width="47.42578125" bestFit="1" customWidth="1"/>
    <col min="5" max="5" width="43.5703125" bestFit="1" customWidth="1"/>
    <col min="6" max="6" width="45.42578125" bestFit="1" customWidth="1"/>
    <col min="7" max="8" width="21.140625" bestFit="1" customWidth="1"/>
    <col min="9" max="9" width="11" bestFit="1" customWidth="1"/>
    <col min="10" max="10" width="40.7109375" customWidth="1"/>
    <col min="11" max="11" width="13.42578125" bestFit="1" customWidth="1"/>
    <col min="12" max="12" width="12.7109375" bestFit="1" customWidth="1"/>
    <col min="13" max="13" width="12.7109375" customWidth="1"/>
    <col min="14" max="14" width="16.85546875" bestFit="1" customWidth="1"/>
    <col min="15" max="15" width="16.85546875" style="54" customWidth="1"/>
    <col min="16" max="16" width="9.140625" customWidth="1"/>
    <col min="17" max="18" width="9.140625" style="20" hidden="1" customWidth="1"/>
    <col min="19" max="16384" width="9.140625" hidden="1"/>
  </cols>
  <sheetData>
    <row r="1" spans="1:18" ht="38.25" x14ac:dyDescent="0.25">
      <c r="A1" s="24" t="s">
        <v>0</v>
      </c>
      <c r="B1" s="25" t="s">
        <v>755</v>
      </c>
      <c r="C1" s="25" t="s">
        <v>2</v>
      </c>
      <c r="D1" s="25" t="s">
        <v>3</v>
      </c>
      <c r="E1" s="25" t="s">
        <v>652</v>
      </c>
      <c r="F1" s="25" t="s">
        <v>759</v>
      </c>
      <c r="G1" s="25" t="s">
        <v>657</v>
      </c>
      <c r="H1" s="25" t="s">
        <v>658</v>
      </c>
      <c r="I1" s="25" t="s">
        <v>653</v>
      </c>
      <c r="J1" s="25" t="s">
        <v>654</v>
      </c>
      <c r="K1" s="25" t="s">
        <v>754</v>
      </c>
      <c r="L1" s="25" t="s">
        <v>655</v>
      </c>
      <c r="M1" s="25" t="s">
        <v>753</v>
      </c>
      <c r="N1" s="26" t="s">
        <v>6</v>
      </c>
      <c r="O1" s="68" t="s">
        <v>876</v>
      </c>
      <c r="Q1" s="20">
        <v>6</v>
      </c>
      <c r="R1" s="20" t="s">
        <v>752</v>
      </c>
    </row>
    <row r="2" spans="1:18" ht="30" x14ac:dyDescent="0.25">
      <c r="A2" s="27">
        <v>1</v>
      </c>
      <c r="B2" s="13" t="s">
        <v>7</v>
      </c>
      <c r="C2" s="13" t="s">
        <v>8</v>
      </c>
      <c r="D2" s="13" t="s">
        <v>9</v>
      </c>
      <c r="E2" s="13" t="s">
        <v>10</v>
      </c>
      <c r="F2" s="13" t="s">
        <v>764</v>
      </c>
      <c r="G2" s="13" t="s">
        <v>11</v>
      </c>
      <c r="H2" s="13" t="s">
        <v>12</v>
      </c>
      <c r="I2" s="13" t="s">
        <v>13</v>
      </c>
      <c r="J2" s="13" t="s">
        <v>659</v>
      </c>
      <c r="K2" s="14">
        <v>1</v>
      </c>
      <c r="L2" s="13" t="s">
        <v>645</v>
      </c>
      <c r="M2" s="13">
        <v>2017</v>
      </c>
      <c r="N2" s="28">
        <v>59000000</v>
      </c>
      <c r="Q2" s="20">
        <v>1</v>
      </c>
      <c r="R2" s="20" t="s">
        <v>1</v>
      </c>
    </row>
    <row r="3" spans="1:18" ht="30" x14ac:dyDescent="0.25">
      <c r="A3" s="29">
        <v>2</v>
      </c>
      <c r="B3" s="15" t="s">
        <v>7</v>
      </c>
      <c r="C3" s="15" t="s">
        <v>14</v>
      </c>
      <c r="D3" s="15" t="s">
        <v>15</v>
      </c>
      <c r="E3" s="15" t="s">
        <v>10</v>
      </c>
      <c r="F3" s="15" t="s">
        <v>765</v>
      </c>
      <c r="G3" s="15" t="s">
        <v>12</v>
      </c>
      <c r="H3" s="15" t="s">
        <v>16</v>
      </c>
      <c r="I3" s="15" t="s">
        <v>17</v>
      </c>
      <c r="J3" s="15" t="s">
        <v>660</v>
      </c>
      <c r="K3" s="16">
        <v>1</v>
      </c>
      <c r="L3" s="15" t="s">
        <v>645</v>
      </c>
      <c r="M3" s="15">
        <v>2018</v>
      </c>
      <c r="N3" s="30">
        <v>59000000</v>
      </c>
      <c r="Q3" s="20">
        <v>2</v>
      </c>
      <c r="R3" s="20" t="s">
        <v>2</v>
      </c>
    </row>
    <row r="4" spans="1:18" ht="45" x14ac:dyDescent="0.25">
      <c r="A4" s="31">
        <v>3</v>
      </c>
      <c r="B4" s="17" t="s">
        <v>7</v>
      </c>
      <c r="C4" s="17" t="s">
        <v>18</v>
      </c>
      <c r="D4" s="17" t="s">
        <v>19</v>
      </c>
      <c r="E4" s="17" t="s">
        <v>10</v>
      </c>
      <c r="F4" s="17" t="s">
        <v>766</v>
      </c>
      <c r="G4" s="17" t="s">
        <v>20</v>
      </c>
      <c r="H4" s="17" t="s">
        <v>20</v>
      </c>
      <c r="I4" s="17" t="s">
        <v>21</v>
      </c>
      <c r="J4" s="17" t="s">
        <v>661</v>
      </c>
      <c r="K4" s="18">
        <v>1</v>
      </c>
      <c r="L4" s="17" t="s">
        <v>636</v>
      </c>
      <c r="M4" s="17">
        <v>2019</v>
      </c>
      <c r="N4" s="32">
        <v>72000000</v>
      </c>
      <c r="Q4" s="20">
        <v>3</v>
      </c>
      <c r="R4" s="20" t="s">
        <v>3</v>
      </c>
    </row>
    <row r="5" spans="1:18" ht="45" x14ac:dyDescent="0.25">
      <c r="A5" s="29">
        <v>4</v>
      </c>
      <c r="B5" s="15" t="s">
        <v>7</v>
      </c>
      <c r="C5" s="15" t="s">
        <v>14</v>
      </c>
      <c r="D5" s="15" t="s">
        <v>22</v>
      </c>
      <c r="E5" s="15" t="s">
        <v>10</v>
      </c>
      <c r="F5" s="15" t="s">
        <v>767</v>
      </c>
      <c r="G5" s="15" t="s">
        <v>23</v>
      </c>
      <c r="H5" s="15" t="s">
        <v>24</v>
      </c>
      <c r="I5" s="15" t="s">
        <v>25</v>
      </c>
      <c r="J5" s="15" t="s">
        <v>662</v>
      </c>
      <c r="K5" s="16">
        <v>1</v>
      </c>
      <c r="L5" s="15" t="s">
        <v>636</v>
      </c>
      <c r="M5" s="15">
        <v>2017</v>
      </c>
      <c r="N5" s="30">
        <v>62000000</v>
      </c>
      <c r="Q5" s="20">
        <v>4</v>
      </c>
      <c r="R5" s="20" t="s">
        <v>652</v>
      </c>
    </row>
    <row r="6" spans="1:18" ht="45" x14ac:dyDescent="0.25">
      <c r="A6" s="31">
        <v>5</v>
      </c>
      <c r="B6" s="17" t="s">
        <v>7</v>
      </c>
      <c r="C6" s="17" t="s">
        <v>8</v>
      </c>
      <c r="D6" s="17" t="s">
        <v>26</v>
      </c>
      <c r="E6" s="17" t="s">
        <v>27</v>
      </c>
      <c r="F6" s="17" t="s">
        <v>768</v>
      </c>
      <c r="G6" s="17" t="s">
        <v>28</v>
      </c>
      <c r="H6" s="17" t="s">
        <v>29</v>
      </c>
      <c r="I6" s="17" t="s">
        <v>30</v>
      </c>
      <c r="J6" s="17" t="s">
        <v>663</v>
      </c>
      <c r="K6" s="18">
        <v>1</v>
      </c>
      <c r="L6" s="17" t="s">
        <v>645</v>
      </c>
      <c r="M6" s="17">
        <v>2017</v>
      </c>
      <c r="N6" s="32">
        <v>62000000</v>
      </c>
      <c r="Q6" s="20">
        <v>5</v>
      </c>
      <c r="R6" s="20" t="s">
        <v>759</v>
      </c>
    </row>
    <row r="7" spans="1:18" ht="45" x14ac:dyDescent="0.25">
      <c r="A7" s="29">
        <v>6</v>
      </c>
      <c r="B7" s="15" t="s">
        <v>7</v>
      </c>
      <c r="C7" s="15" t="s">
        <v>31</v>
      </c>
      <c r="D7" s="15" t="s">
        <v>32</v>
      </c>
      <c r="E7" s="15" t="s">
        <v>10</v>
      </c>
      <c r="F7" s="15" t="s">
        <v>769</v>
      </c>
      <c r="G7" s="15" t="s">
        <v>29</v>
      </c>
      <c r="H7" s="15" t="s">
        <v>33</v>
      </c>
      <c r="I7" s="15" t="s">
        <v>34</v>
      </c>
      <c r="J7" s="15" t="s">
        <v>664</v>
      </c>
      <c r="K7" s="16">
        <v>3</v>
      </c>
      <c r="L7" s="15" t="s">
        <v>636</v>
      </c>
      <c r="M7" s="15">
        <v>2017</v>
      </c>
      <c r="N7" s="30">
        <v>67000000</v>
      </c>
      <c r="Q7" s="20">
        <v>6</v>
      </c>
      <c r="R7" s="20" t="s">
        <v>657</v>
      </c>
    </row>
    <row r="8" spans="1:18" ht="45" x14ac:dyDescent="0.25">
      <c r="A8" s="31">
        <v>7</v>
      </c>
      <c r="B8" s="17" t="s">
        <v>7</v>
      </c>
      <c r="C8" s="17" t="s">
        <v>8</v>
      </c>
      <c r="D8" s="17" t="s">
        <v>35</v>
      </c>
      <c r="E8" s="17" t="s">
        <v>10</v>
      </c>
      <c r="F8" s="17" t="s">
        <v>770</v>
      </c>
      <c r="G8" s="17" t="s">
        <v>36</v>
      </c>
      <c r="H8" s="17" t="s">
        <v>37</v>
      </c>
      <c r="I8" s="17" t="s">
        <v>38</v>
      </c>
      <c r="J8" s="17" t="s">
        <v>39</v>
      </c>
      <c r="K8" s="18">
        <v>1</v>
      </c>
      <c r="L8" s="17" t="s">
        <v>636</v>
      </c>
      <c r="M8" s="17">
        <v>2018</v>
      </c>
      <c r="N8" s="32">
        <v>54000000</v>
      </c>
      <c r="Q8" s="20">
        <v>7</v>
      </c>
      <c r="R8" s="20" t="s">
        <v>658</v>
      </c>
    </row>
    <row r="9" spans="1:18" ht="45" x14ac:dyDescent="0.25">
      <c r="A9" s="29">
        <v>8</v>
      </c>
      <c r="B9" s="15" t="s">
        <v>7</v>
      </c>
      <c r="C9" s="15" t="s">
        <v>14</v>
      </c>
      <c r="D9" s="15" t="s">
        <v>40</v>
      </c>
      <c r="E9" s="15" t="s">
        <v>10</v>
      </c>
      <c r="F9" s="15" t="s">
        <v>771</v>
      </c>
      <c r="G9" s="15" t="s">
        <v>24</v>
      </c>
      <c r="H9" s="15" t="s">
        <v>41</v>
      </c>
      <c r="I9" s="15" t="s">
        <v>42</v>
      </c>
      <c r="J9" s="15" t="s">
        <v>665</v>
      </c>
      <c r="K9" s="16">
        <v>1</v>
      </c>
      <c r="L9" s="15" t="s">
        <v>645</v>
      </c>
      <c r="M9" s="15">
        <v>2018</v>
      </c>
      <c r="N9" s="30">
        <v>54000000</v>
      </c>
      <c r="Q9" s="20">
        <v>8</v>
      </c>
      <c r="R9" s="20" t="s">
        <v>653</v>
      </c>
    </row>
    <row r="10" spans="1:18" ht="45" x14ac:dyDescent="0.25">
      <c r="A10" s="31">
        <v>9</v>
      </c>
      <c r="B10" s="17" t="s">
        <v>7</v>
      </c>
      <c r="C10" s="17" t="s">
        <v>43</v>
      </c>
      <c r="D10" s="17" t="s">
        <v>44</v>
      </c>
      <c r="E10" s="17" t="s">
        <v>10</v>
      </c>
      <c r="F10" s="17" t="s">
        <v>772</v>
      </c>
      <c r="G10" s="17" t="s">
        <v>37</v>
      </c>
      <c r="H10" s="17" t="s">
        <v>23</v>
      </c>
      <c r="I10" s="17" t="s">
        <v>45</v>
      </c>
      <c r="J10" s="17" t="s">
        <v>666</v>
      </c>
      <c r="K10" s="18">
        <v>1</v>
      </c>
      <c r="L10" s="17" t="s">
        <v>636</v>
      </c>
      <c r="M10" s="17">
        <v>2018</v>
      </c>
      <c r="N10" s="32">
        <v>75000000</v>
      </c>
      <c r="Q10" s="20">
        <v>9</v>
      </c>
      <c r="R10" s="20" t="s">
        <v>654</v>
      </c>
    </row>
    <row r="11" spans="1:18" ht="45" x14ac:dyDescent="0.25">
      <c r="A11" s="29">
        <v>10</v>
      </c>
      <c r="B11" s="15" t="s">
        <v>7</v>
      </c>
      <c r="C11" s="15" t="s">
        <v>46</v>
      </c>
      <c r="D11" s="15" t="s">
        <v>47</v>
      </c>
      <c r="E11" s="15" t="s">
        <v>10</v>
      </c>
      <c r="F11" s="15" t="s">
        <v>773</v>
      </c>
      <c r="G11" s="15" t="s">
        <v>48</v>
      </c>
      <c r="H11" s="15" t="s">
        <v>36</v>
      </c>
      <c r="I11" s="15" t="s">
        <v>49</v>
      </c>
      <c r="J11" s="15" t="s">
        <v>667</v>
      </c>
      <c r="K11" s="16">
        <v>3</v>
      </c>
      <c r="L11" s="15" t="s">
        <v>636</v>
      </c>
      <c r="M11" s="15">
        <v>2019</v>
      </c>
      <c r="N11" s="30">
        <v>53000000</v>
      </c>
      <c r="Q11" s="20">
        <v>10</v>
      </c>
      <c r="R11" s="20" t="s">
        <v>656</v>
      </c>
    </row>
    <row r="12" spans="1:18" ht="45" x14ac:dyDescent="0.25">
      <c r="A12" s="31">
        <v>11</v>
      </c>
      <c r="B12" s="17" t="s">
        <v>7</v>
      </c>
      <c r="C12" s="17" t="s">
        <v>50</v>
      </c>
      <c r="D12" s="17" t="s">
        <v>51</v>
      </c>
      <c r="E12" s="17" t="s">
        <v>10</v>
      </c>
      <c r="F12" s="17" t="s">
        <v>774</v>
      </c>
      <c r="G12" s="17" t="s">
        <v>52</v>
      </c>
      <c r="H12" s="17" t="s">
        <v>36</v>
      </c>
      <c r="I12" s="17" t="s">
        <v>53</v>
      </c>
      <c r="J12" s="17" t="s">
        <v>668</v>
      </c>
      <c r="K12" s="18">
        <v>3</v>
      </c>
      <c r="L12" s="17" t="s">
        <v>645</v>
      </c>
      <c r="M12" s="17">
        <v>2017</v>
      </c>
      <c r="N12" s="32">
        <v>63000000</v>
      </c>
      <c r="Q12" s="20">
        <v>11</v>
      </c>
      <c r="R12" s="20" t="s">
        <v>655</v>
      </c>
    </row>
    <row r="13" spans="1:18" ht="45" x14ac:dyDescent="0.25">
      <c r="A13" s="29">
        <v>12</v>
      </c>
      <c r="B13" s="15" t="s">
        <v>7</v>
      </c>
      <c r="C13" s="15" t="s">
        <v>14</v>
      </c>
      <c r="D13" s="15" t="s">
        <v>54</v>
      </c>
      <c r="E13" s="15" t="s">
        <v>10</v>
      </c>
      <c r="F13" s="15" t="s">
        <v>775</v>
      </c>
      <c r="G13" s="15" t="s">
        <v>28</v>
      </c>
      <c r="H13" s="15" t="s">
        <v>55</v>
      </c>
      <c r="I13" s="15" t="s">
        <v>56</v>
      </c>
      <c r="J13" s="15" t="s">
        <v>669</v>
      </c>
      <c r="K13" s="16">
        <v>1</v>
      </c>
      <c r="L13" s="15" t="s">
        <v>636</v>
      </c>
      <c r="M13" s="15">
        <v>2017</v>
      </c>
      <c r="N13" s="30">
        <v>71000000</v>
      </c>
      <c r="Q13" s="20">
        <v>12</v>
      </c>
      <c r="R13" s="20" t="s">
        <v>753</v>
      </c>
    </row>
    <row r="14" spans="1:18" ht="45" x14ac:dyDescent="0.25">
      <c r="A14" s="31">
        <v>13</v>
      </c>
      <c r="B14" s="17" t="s">
        <v>7</v>
      </c>
      <c r="C14" s="17" t="s">
        <v>57</v>
      </c>
      <c r="D14" s="17" t="s">
        <v>58</v>
      </c>
      <c r="E14" s="17" t="s">
        <v>10</v>
      </c>
      <c r="F14" s="17" t="s">
        <v>776</v>
      </c>
      <c r="G14" s="17" t="s">
        <v>12</v>
      </c>
      <c r="H14" s="17" t="s">
        <v>52</v>
      </c>
      <c r="I14" s="17" t="s">
        <v>59</v>
      </c>
      <c r="J14" s="17" t="s">
        <v>670</v>
      </c>
      <c r="K14" s="18">
        <v>2</v>
      </c>
      <c r="L14" s="17" t="s">
        <v>636</v>
      </c>
      <c r="M14" s="17">
        <v>2018</v>
      </c>
      <c r="N14" s="32">
        <v>58000000</v>
      </c>
      <c r="Q14" s="20">
        <v>13</v>
      </c>
      <c r="R14" s="20" t="s">
        <v>6</v>
      </c>
    </row>
    <row r="15" spans="1:18" ht="30" x14ac:dyDescent="0.25">
      <c r="A15" s="29">
        <v>14</v>
      </c>
      <c r="B15" s="15" t="s">
        <v>7</v>
      </c>
      <c r="C15" s="15" t="s">
        <v>60</v>
      </c>
      <c r="D15" s="15" t="s">
        <v>61</v>
      </c>
      <c r="E15" s="15" t="s">
        <v>62</v>
      </c>
      <c r="F15" s="15" t="s">
        <v>777</v>
      </c>
      <c r="G15" s="15" t="s">
        <v>36</v>
      </c>
      <c r="H15" s="15" t="s">
        <v>63</v>
      </c>
      <c r="I15" s="15" t="s">
        <v>64</v>
      </c>
      <c r="J15" s="15" t="s">
        <v>671</v>
      </c>
      <c r="K15" s="16">
        <v>1</v>
      </c>
      <c r="L15" s="15" t="s">
        <v>645</v>
      </c>
      <c r="M15" s="15">
        <v>2019</v>
      </c>
      <c r="N15" s="30">
        <v>71000000</v>
      </c>
    </row>
    <row r="16" spans="1:18" ht="30" x14ac:dyDescent="0.25">
      <c r="A16" s="31">
        <v>15</v>
      </c>
      <c r="B16" s="17" t="s">
        <v>7</v>
      </c>
      <c r="C16" s="17" t="s">
        <v>65</v>
      </c>
      <c r="D16" s="17" t="s">
        <v>66</v>
      </c>
      <c r="E16" s="17" t="s">
        <v>10</v>
      </c>
      <c r="F16" s="17" t="s">
        <v>778</v>
      </c>
      <c r="G16" s="17" t="s">
        <v>67</v>
      </c>
      <c r="H16" s="17" t="s">
        <v>67</v>
      </c>
      <c r="I16" s="17" t="s">
        <v>68</v>
      </c>
      <c r="J16" s="17" t="s">
        <v>672</v>
      </c>
      <c r="K16" s="18">
        <v>1</v>
      </c>
      <c r="L16" s="17" t="s">
        <v>645</v>
      </c>
      <c r="M16" s="17">
        <v>2020</v>
      </c>
      <c r="N16" s="32">
        <v>68000000</v>
      </c>
    </row>
    <row r="17" spans="1:17" ht="45" x14ac:dyDescent="0.25">
      <c r="A17" s="29">
        <v>16</v>
      </c>
      <c r="B17" s="15" t="s">
        <v>7</v>
      </c>
      <c r="C17" s="15" t="s">
        <v>57</v>
      </c>
      <c r="D17" s="15" t="s">
        <v>69</v>
      </c>
      <c r="E17" s="15" t="s">
        <v>62</v>
      </c>
      <c r="F17" s="15" t="s">
        <v>779</v>
      </c>
      <c r="G17" s="15" t="s">
        <v>11</v>
      </c>
      <c r="H17" s="15" t="s">
        <v>12</v>
      </c>
      <c r="I17" s="15" t="s">
        <v>70</v>
      </c>
      <c r="J17" s="15" t="s">
        <v>673</v>
      </c>
      <c r="K17" s="16">
        <v>1</v>
      </c>
      <c r="L17" s="15" t="s">
        <v>636</v>
      </c>
      <c r="M17" s="15">
        <v>2018</v>
      </c>
      <c r="N17" s="30">
        <v>51000000</v>
      </c>
    </row>
    <row r="18" spans="1:17" ht="30" x14ac:dyDescent="0.25">
      <c r="A18" s="31">
        <v>17</v>
      </c>
      <c r="B18" s="17" t="s">
        <v>7</v>
      </c>
      <c r="C18" s="17" t="s">
        <v>71</v>
      </c>
      <c r="D18" s="17" t="s">
        <v>72</v>
      </c>
      <c r="E18" s="17" t="s">
        <v>10</v>
      </c>
      <c r="F18" s="17" t="s">
        <v>780</v>
      </c>
      <c r="G18" s="17" t="s">
        <v>11</v>
      </c>
      <c r="H18" s="17" t="s">
        <v>48</v>
      </c>
      <c r="I18" s="17" t="s">
        <v>73</v>
      </c>
      <c r="J18" s="17" t="s">
        <v>674</v>
      </c>
      <c r="K18" s="18">
        <v>1</v>
      </c>
      <c r="L18" s="17" t="s">
        <v>636</v>
      </c>
      <c r="M18" s="17">
        <v>2020</v>
      </c>
      <c r="N18" s="32">
        <v>58000000</v>
      </c>
    </row>
    <row r="19" spans="1:17" ht="45" x14ac:dyDescent="0.25">
      <c r="A19" s="29">
        <v>18</v>
      </c>
      <c r="B19" s="15" t="s">
        <v>7</v>
      </c>
      <c r="C19" s="15" t="s">
        <v>71</v>
      </c>
      <c r="D19" s="15" t="s">
        <v>74</v>
      </c>
      <c r="E19" s="15" t="s">
        <v>10</v>
      </c>
      <c r="F19" s="15" t="s">
        <v>781</v>
      </c>
      <c r="G19" s="15" t="s">
        <v>75</v>
      </c>
      <c r="H19" s="15" t="s">
        <v>33</v>
      </c>
      <c r="I19" s="15" t="s">
        <v>76</v>
      </c>
      <c r="J19" s="15" t="s">
        <v>675</v>
      </c>
      <c r="K19" s="16">
        <v>1</v>
      </c>
      <c r="L19" s="15" t="s">
        <v>645</v>
      </c>
      <c r="M19" s="15">
        <v>2019</v>
      </c>
      <c r="N19" s="30">
        <v>53000000</v>
      </c>
      <c r="Q19" s="20">
        <v>18</v>
      </c>
    </row>
    <row r="20" spans="1:17" ht="45" x14ac:dyDescent="0.25">
      <c r="A20" s="31">
        <v>19</v>
      </c>
      <c r="B20" s="17" t="s">
        <v>7</v>
      </c>
      <c r="C20" s="17" t="s">
        <v>71</v>
      </c>
      <c r="D20" s="17" t="s">
        <v>72</v>
      </c>
      <c r="E20" s="17" t="s">
        <v>10</v>
      </c>
      <c r="F20" s="17" t="s">
        <v>782</v>
      </c>
      <c r="G20" s="17" t="s">
        <v>77</v>
      </c>
      <c r="H20" s="17" t="s">
        <v>23</v>
      </c>
      <c r="I20" s="17" t="s">
        <v>78</v>
      </c>
      <c r="J20" s="17" t="s">
        <v>676</v>
      </c>
      <c r="K20" s="18">
        <v>1</v>
      </c>
      <c r="L20" s="17" t="s">
        <v>645</v>
      </c>
      <c r="M20" s="17">
        <v>2020</v>
      </c>
      <c r="N20" s="32">
        <v>70000000</v>
      </c>
      <c r="Q20" s="20">
        <v>19</v>
      </c>
    </row>
    <row r="21" spans="1:17" ht="45" x14ac:dyDescent="0.25">
      <c r="A21" s="29">
        <v>20</v>
      </c>
      <c r="B21" s="15" t="s">
        <v>7</v>
      </c>
      <c r="C21" s="15" t="s">
        <v>8</v>
      </c>
      <c r="D21" s="15" t="s">
        <v>79</v>
      </c>
      <c r="E21" s="15" t="s">
        <v>10</v>
      </c>
      <c r="F21" s="15" t="s">
        <v>783</v>
      </c>
      <c r="G21" s="15" t="s">
        <v>55</v>
      </c>
      <c r="H21" s="15" t="s">
        <v>12</v>
      </c>
      <c r="I21" s="15" t="s">
        <v>80</v>
      </c>
      <c r="J21" s="15" t="s">
        <v>677</v>
      </c>
      <c r="K21" s="16">
        <v>1</v>
      </c>
      <c r="L21" s="15" t="s">
        <v>645</v>
      </c>
      <c r="M21" s="15">
        <v>2019</v>
      </c>
      <c r="N21" s="30">
        <v>75000000</v>
      </c>
      <c r="Q21" s="20">
        <v>20</v>
      </c>
    </row>
    <row r="22" spans="1:17" ht="30" x14ac:dyDescent="0.25">
      <c r="A22" s="31">
        <v>21</v>
      </c>
      <c r="B22" s="17" t="s">
        <v>7</v>
      </c>
      <c r="C22" s="17" t="s">
        <v>71</v>
      </c>
      <c r="D22" s="17" t="s">
        <v>81</v>
      </c>
      <c r="E22" s="17" t="s">
        <v>10</v>
      </c>
      <c r="F22" s="17" t="s">
        <v>784</v>
      </c>
      <c r="G22" s="17" t="s">
        <v>63</v>
      </c>
      <c r="H22" s="17" t="s">
        <v>82</v>
      </c>
      <c r="I22" s="17" t="s">
        <v>83</v>
      </c>
      <c r="J22" s="17" t="s">
        <v>678</v>
      </c>
      <c r="K22" s="18">
        <v>2</v>
      </c>
      <c r="L22" s="17" t="s">
        <v>645</v>
      </c>
      <c r="M22" s="17">
        <v>2020</v>
      </c>
      <c r="N22" s="32">
        <v>65000000</v>
      </c>
      <c r="Q22" s="20">
        <v>21</v>
      </c>
    </row>
    <row r="23" spans="1:17" ht="30" x14ac:dyDescent="0.25">
      <c r="A23" s="29">
        <v>22</v>
      </c>
      <c r="B23" s="15" t="s">
        <v>7</v>
      </c>
      <c r="C23" s="15" t="s">
        <v>18</v>
      </c>
      <c r="D23" s="15" t="s">
        <v>84</v>
      </c>
      <c r="E23" s="15" t="s">
        <v>10</v>
      </c>
      <c r="F23" s="15" t="s">
        <v>785</v>
      </c>
      <c r="G23" s="15" t="s">
        <v>52</v>
      </c>
      <c r="H23" s="15" t="s">
        <v>24</v>
      </c>
      <c r="I23" s="15" t="s">
        <v>85</v>
      </c>
      <c r="J23" s="15" t="s">
        <v>679</v>
      </c>
      <c r="K23" s="16">
        <v>1</v>
      </c>
      <c r="L23" s="15" t="s">
        <v>645</v>
      </c>
      <c r="M23" s="15">
        <v>2018</v>
      </c>
      <c r="N23" s="30">
        <v>73000000</v>
      </c>
      <c r="Q23" s="20">
        <v>22</v>
      </c>
    </row>
    <row r="24" spans="1:17" ht="45" x14ac:dyDescent="0.25">
      <c r="A24" s="31">
        <v>23</v>
      </c>
      <c r="B24" s="17" t="s">
        <v>7</v>
      </c>
      <c r="C24" s="17" t="s">
        <v>86</v>
      </c>
      <c r="D24" s="17" t="s">
        <v>87</v>
      </c>
      <c r="E24" s="17" t="s">
        <v>10</v>
      </c>
      <c r="F24" s="17" t="s">
        <v>786</v>
      </c>
      <c r="G24" s="17" t="s">
        <v>28</v>
      </c>
      <c r="H24" s="17" t="s">
        <v>88</v>
      </c>
      <c r="I24" s="17" t="s">
        <v>89</v>
      </c>
      <c r="J24" s="17" t="s">
        <v>680</v>
      </c>
      <c r="K24" s="18">
        <v>1</v>
      </c>
      <c r="L24" s="17" t="s">
        <v>645</v>
      </c>
      <c r="M24" s="17">
        <v>2018</v>
      </c>
      <c r="N24" s="32">
        <v>60000000</v>
      </c>
      <c r="Q24" s="20">
        <v>23</v>
      </c>
    </row>
    <row r="25" spans="1:17" ht="30" x14ac:dyDescent="0.25">
      <c r="A25" s="29">
        <v>24</v>
      </c>
      <c r="B25" s="15" t="s">
        <v>7</v>
      </c>
      <c r="C25" s="15" t="s">
        <v>71</v>
      </c>
      <c r="D25" s="15" t="s">
        <v>90</v>
      </c>
      <c r="E25" s="15" t="s">
        <v>10</v>
      </c>
      <c r="F25" s="15" t="s">
        <v>787</v>
      </c>
      <c r="G25" s="15" t="s">
        <v>48</v>
      </c>
      <c r="H25" s="15" t="s">
        <v>16</v>
      </c>
      <c r="I25" s="15" t="s">
        <v>91</v>
      </c>
      <c r="J25" s="15" t="s">
        <v>681</v>
      </c>
      <c r="K25" s="16">
        <v>1</v>
      </c>
      <c r="L25" s="15" t="s">
        <v>636</v>
      </c>
      <c r="M25" s="15">
        <v>2018</v>
      </c>
      <c r="N25" s="30">
        <v>52000000</v>
      </c>
      <c r="Q25" s="20">
        <v>24</v>
      </c>
    </row>
    <row r="26" spans="1:17" ht="45" x14ac:dyDescent="0.25">
      <c r="A26" s="31">
        <v>25</v>
      </c>
      <c r="B26" s="17" t="s">
        <v>7</v>
      </c>
      <c r="C26" s="17" t="s">
        <v>71</v>
      </c>
      <c r="D26" s="17" t="s">
        <v>92</v>
      </c>
      <c r="E26" s="17" t="s">
        <v>10</v>
      </c>
      <c r="F26" s="17" t="s">
        <v>788</v>
      </c>
      <c r="G26" s="17" t="s">
        <v>24</v>
      </c>
      <c r="H26" s="17" t="s">
        <v>63</v>
      </c>
      <c r="I26" s="17" t="s">
        <v>93</v>
      </c>
      <c r="J26" s="17" t="s">
        <v>682</v>
      </c>
      <c r="K26" s="18">
        <v>1</v>
      </c>
      <c r="L26" s="17" t="s">
        <v>636</v>
      </c>
      <c r="M26" s="17">
        <v>2019</v>
      </c>
      <c r="N26" s="32">
        <v>53000000</v>
      </c>
      <c r="Q26" s="20">
        <v>25</v>
      </c>
    </row>
    <row r="27" spans="1:17" ht="45" x14ac:dyDescent="0.25">
      <c r="A27" s="29">
        <v>26</v>
      </c>
      <c r="B27" s="15" t="s">
        <v>7</v>
      </c>
      <c r="C27" s="15" t="s">
        <v>71</v>
      </c>
      <c r="D27" s="15" t="s">
        <v>94</v>
      </c>
      <c r="E27" s="15" t="s">
        <v>10</v>
      </c>
      <c r="F27" s="15" t="s">
        <v>789</v>
      </c>
      <c r="G27" s="15" t="s">
        <v>67</v>
      </c>
      <c r="H27" s="15" t="s">
        <v>33</v>
      </c>
      <c r="I27" s="15" t="s">
        <v>95</v>
      </c>
      <c r="J27" s="15" t="s">
        <v>683</v>
      </c>
      <c r="K27" s="16">
        <v>1</v>
      </c>
      <c r="L27" s="15" t="s">
        <v>636</v>
      </c>
      <c r="M27" s="15">
        <v>2018</v>
      </c>
      <c r="N27" s="30">
        <v>74000000</v>
      </c>
      <c r="Q27" s="20">
        <v>26</v>
      </c>
    </row>
    <row r="28" spans="1:17" ht="30" x14ac:dyDescent="0.25">
      <c r="A28" s="31">
        <v>27</v>
      </c>
      <c r="B28" s="17" t="s">
        <v>7</v>
      </c>
      <c r="C28" s="17" t="s">
        <v>8</v>
      </c>
      <c r="D28" s="17" t="s">
        <v>96</v>
      </c>
      <c r="E28" s="17" t="s">
        <v>97</v>
      </c>
      <c r="F28" s="17" t="s">
        <v>790</v>
      </c>
      <c r="G28" s="17" t="s">
        <v>75</v>
      </c>
      <c r="H28" s="17" t="s">
        <v>82</v>
      </c>
      <c r="I28" s="17" t="s">
        <v>98</v>
      </c>
      <c r="J28" s="17" t="s">
        <v>684</v>
      </c>
      <c r="K28" s="18">
        <v>1</v>
      </c>
      <c r="L28" s="17" t="s">
        <v>645</v>
      </c>
      <c r="M28" s="17">
        <v>2018</v>
      </c>
      <c r="N28" s="32">
        <v>56000000</v>
      </c>
      <c r="Q28" s="20">
        <v>27</v>
      </c>
    </row>
    <row r="29" spans="1:17" ht="30" x14ac:dyDescent="0.25">
      <c r="A29" s="29">
        <v>28</v>
      </c>
      <c r="B29" s="15" t="s">
        <v>7</v>
      </c>
      <c r="C29" s="15" t="s">
        <v>31</v>
      </c>
      <c r="D29" s="15" t="s">
        <v>99</v>
      </c>
      <c r="E29" s="15" t="s">
        <v>10</v>
      </c>
      <c r="F29" s="15" t="s">
        <v>791</v>
      </c>
      <c r="G29" s="15" t="s">
        <v>11</v>
      </c>
      <c r="H29" s="15" t="s">
        <v>48</v>
      </c>
      <c r="I29" s="15" t="s">
        <v>100</v>
      </c>
      <c r="J29" s="15" t="s">
        <v>685</v>
      </c>
      <c r="K29" s="16">
        <v>1</v>
      </c>
      <c r="L29" s="15" t="s">
        <v>636</v>
      </c>
      <c r="M29" s="15">
        <v>2020</v>
      </c>
      <c r="N29" s="30">
        <v>59000000</v>
      </c>
      <c r="Q29" s="20">
        <v>28</v>
      </c>
    </row>
    <row r="30" spans="1:17" ht="30" x14ac:dyDescent="0.25">
      <c r="A30" s="31">
        <v>29</v>
      </c>
      <c r="B30" s="17" t="s">
        <v>7</v>
      </c>
      <c r="C30" s="17" t="s">
        <v>57</v>
      </c>
      <c r="D30" s="17" t="s">
        <v>101</v>
      </c>
      <c r="E30" s="17" t="s">
        <v>10</v>
      </c>
      <c r="F30" s="17" t="s">
        <v>792</v>
      </c>
      <c r="G30" s="17" t="s">
        <v>29</v>
      </c>
      <c r="H30" s="17" t="s">
        <v>67</v>
      </c>
      <c r="I30" s="17" t="s">
        <v>102</v>
      </c>
      <c r="J30" s="17" t="s">
        <v>686</v>
      </c>
      <c r="K30" s="18">
        <v>1</v>
      </c>
      <c r="L30" s="17" t="s">
        <v>636</v>
      </c>
      <c r="M30" s="17">
        <v>2020</v>
      </c>
      <c r="N30" s="32">
        <v>67000000</v>
      </c>
      <c r="Q30" s="20">
        <v>29</v>
      </c>
    </row>
    <row r="31" spans="1:17" ht="45" x14ac:dyDescent="0.25">
      <c r="A31" s="29">
        <v>30</v>
      </c>
      <c r="B31" s="15" t="s">
        <v>7</v>
      </c>
      <c r="C31" s="15" t="s">
        <v>50</v>
      </c>
      <c r="D31" s="15" t="s">
        <v>51</v>
      </c>
      <c r="E31" s="15" t="s">
        <v>62</v>
      </c>
      <c r="F31" s="15" t="s">
        <v>793</v>
      </c>
      <c r="G31" s="15" t="s">
        <v>29</v>
      </c>
      <c r="H31" s="15" t="s">
        <v>20</v>
      </c>
      <c r="I31" s="15" t="s">
        <v>104</v>
      </c>
      <c r="J31" s="15" t="s">
        <v>687</v>
      </c>
      <c r="K31" s="16">
        <v>1</v>
      </c>
      <c r="L31" s="15" t="s">
        <v>645</v>
      </c>
      <c r="M31" s="15">
        <v>2018</v>
      </c>
      <c r="N31" s="30">
        <v>67000000</v>
      </c>
      <c r="Q31" s="20">
        <v>30</v>
      </c>
    </row>
    <row r="32" spans="1:17" ht="30" x14ac:dyDescent="0.25">
      <c r="A32" s="31">
        <v>31</v>
      </c>
      <c r="B32" s="17" t="s">
        <v>7</v>
      </c>
      <c r="C32" s="17" t="s">
        <v>71</v>
      </c>
      <c r="D32" s="17" t="s">
        <v>105</v>
      </c>
      <c r="E32" s="17" t="s">
        <v>62</v>
      </c>
      <c r="F32" s="17" t="s">
        <v>794</v>
      </c>
      <c r="G32" s="17" t="s">
        <v>16</v>
      </c>
      <c r="H32" s="17" t="s">
        <v>106</v>
      </c>
      <c r="I32" s="17" t="s">
        <v>107</v>
      </c>
      <c r="J32" s="17" t="s">
        <v>688</v>
      </c>
      <c r="K32" s="18">
        <v>1</v>
      </c>
      <c r="L32" s="17" t="s">
        <v>636</v>
      </c>
      <c r="M32" s="17">
        <v>2017</v>
      </c>
      <c r="N32" s="32">
        <v>72000000</v>
      </c>
      <c r="Q32" s="20">
        <v>31</v>
      </c>
    </row>
    <row r="33" spans="1:17" ht="45" x14ac:dyDescent="0.25">
      <c r="A33" s="29">
        <v>32</v>
      </c>
      <c r="B33" s="15" t="s">
        <v>7</v>
      </c>
      <c r="C33" s="15" t="s">
        <v>108</v>
      </c>
      <c r="D33" s="15" t="s">
        <v>109</v>
      </c>
      <c r="E33" s="15" t="s">
        <v>62</v>
      </c>
      <c r="F33" s="15" t="s">
        <v>795</v>
      </c>
      <c r="G33" s="15" t="s">
        <v>110</v>
      </c>
      <c r="H33" s="15" t="s">
        <v>41</v>
      </c>
      <c r="I33" s="15" t="s">
        <v>111</v>
      </c>
      <c r="J33" s="15" t="s">
        <v>689</v>
      </c>
      <c r="K33" s="16">
        <v>3</v>
      </c>
      <c r="L33" s="15" t="s">
        <v>645</v>
      </c>
      <c r="M33" s="15">
        <v>2018</v>
      </c>
      <c r="N33" s="30">
        <v>70000000</v>
      </c>
      <c r="Q33" s="20">
        <v>32</v>
      </c>
    </row>
    <row r="34" spans="1:17" ht="30" x14ac:dyDescent="0.25">
      <c r="A34" s="31">
        <v>33</v>
      </c>
      <c r="B34" s="17" t="s">
        <v>7</v>
      </c>
      <c r="C34" s="17" t="s">
        <v>60</v>
      </c>
      <c r="D34" s="17" t="s">
        <v>112</v>
      </c>
      <c r="E34" s="17" t="s">
        <v>220</v>
      </c>
      <c r="F34" s="17" t="s">
        <v>796</v>
      </c>
      <c r="G34" s="17" t="s">
        <v>106</v>
      </c>
      <c r="H34" s="17" t="s">
        <v>82</v>
      </c>
      <c r="I34" s="17" t="s">
        <v>113</v>
      </c>
      <c r="J34" s="17" t="s">
        <v>690</v>
      </c>
      <c r="K34" s="18">
        <v>1</v>
      </c>
      <c r="L34" s="17" t="s">
        <v>645</v>
      </c>
      <c r="M34" s="17">
        <v>2018</v>
      </c>
      <c r="N34" s="32">
        <v>53000000</v>
      </c>
      <c r="Q34" s="20">
        <v>33</v>
      </c>
    </row>
    <row r="35" spans="1:17" ht="45" x14ac:dyDescent="0.25">
      <c r="A35" s="29">
        <v>34</v>
      </c>
      <c r="B35" s="15" t="s">
        <v>7</v>
      </c>
      <c r="C35" s="15" t="s">
        <v>43</v>
      </c>
      <c r="D35" s="15" t="s">
        <v>114</v>
      </c>
      <c r="E35" s="15" t="s">
        <v>10</v>
      </c>
      <c r="F35" s="15" t="s">
        <v>797</v>
      </c>
      <c r="G35" s="15" t="s">
        <v>41</v>
      </c>
      <c r="H35" s="15" t="s">
        <v>115</v>
      </c>
      <c r="I35" s="15" t="s">
        <v>116</v>
      </c>
      <c r="J35" s="15" t="s">
        <v>691</v>
      </c>
      <c r="K35" s="16">
        <v>1</v>
      </c>
      <c r="L35" s="15" t="s">
        <v>636</v>
      </c>
      <c r="M35" s="15">
        <v>2018</v>
      </c>
      <c r="N35" s="30">
        <v>74000000</v>
      </c>
      <c r="Q35" s="20">
        <v>34</v>
      </c>
    </row>
    <row r="36" spans="1:17" ht="30" x14ac:dyDescent="0.25">
      <c r="A36" s="31">
        <v>35</v>
      </c>
      <c r="B36" s="17" t="s">
        <v>7</v>
      </c>
      <c r="C36" s="17" t="s">
        <v>31</v>
      </c>
      <c r="D36" s="17" t="s">
        <v>117</v>
      </c>
      <c r="E36" s="17" t="s">
        <v>10</v>
      </c>
      <c r="F36" s="17" t="s">
        <v>798</v>
      </c>
      <c r="G36" s="17" t="s">
        <v>63</v>
      </c>
      <c r="H36" s="17" t="s">
        <v>88</v>
      </c>
      <c r="I36" s="17" t="s">
        <v>118</v>
      </c>
      <c r="J36" s="17" t="s">
        <v>692</v>
      </c>
      <c r="K36" s="18">
        <v>1</v>
      </c>
      <c r="L36" s="17" t="s">
        <v>645</v>
      </c>
      <c r="M36" s="17">
        <v>2018</v>
      </c>
      <c r="N36" s="32">
        <v>64000000</v>
      </c>
      <c r="Q36" s="20">
        <v>35</v>
      </c>
    </row>
    <row r="37" spans="1:17" ht="30" x14ac:dyDescent="0.25">
      <c r="A37" s="29">
        <v>36</v>
      </c>
      <c r="B37" s="15" t="s">
        <v>7</v>
      </c>
      <c r="C37" s="15" t="s">
        <v>71</v>
      </c>
      <c r="D37" s="15" t="s">
        <v>119</v>
      </c>
      <c r="E37" s="15" t="s">
        <v>97</v>
      </c>
      <c r="F37" s="15" t="s">
        <v>799</v>
      </c>
      <c r="G37" s="15" t="s">
        <v>16</v>
      </c>
      <c r="H37" s="15" t="s">
        <v>24</v>
      </c>
      <c r="I37" s="15" t="s">
        <v>120</v>
      </c>
      <c r="J37" s="15" t="s">
        <v>693</v>
      </c>
      <c r="K37" s="16">
        <v>1</v>
      </c>
      <c r="L37" s="15" t="s">
        <v>636</v>
      </c>
      <c r="M37" s="15">
        <v>2017</v>
      </c>
      <c r="N37" s="30">
        <v>72000000</v>
      </c>
      <c r="Q37" s="20">
        <v>36</v>
      </c>
    </row>
    <row r="38" spans="1:17" ht="45" x14ac:dyDescent="0.25">
      <c r="A38" s="31">
        <v>37</v>
      </c>
      <c r="B38" s="17" t="s">
        <v>7</v>
      </c>
      <c r="C38" s="17" t="s">
        <v>31</v>
      </c>
      <c r="D38" s="17" t="s">
        <v>121</v>
      </c>
      <c r="E38" s="17" t="s">
        <v>10</v>
      </c>
      <c r="F38" s="17" t="s">
        <v>800</v>
      </c>
      <c r="G38" s="17" t="s">
        <v>77</v>
      </c>
      <c r="H38" s="17" t="s">
        <v>55</v>
      </c>
      <c r="I38" s="17" t="s">
        <v>122</v>
      </c>
      <c r="J38" s="17" t="s">
        <v>694</v>
      </c>
      <c r="K38" s="18">
        <v>1</v>
      </c>
      <c r="L38" s="17" t="s">
        <v>636</v>
      </c>
      <c r="M38" s="17">
        <v>2020</v>
      </c>
      <c r="N38" s="32">
        <v>52000000</v>
      </c>
      <c r="Q38" s="20">
        <v>37</v>
      </c>
    </row>
    <row r="39" spans="1:17" ht="45" x14ac:dyDescent="0.25">
      <c r="A39" s="29">
        <v>38</v>
      </c>
      <c r="B39" s="15" t="s">
        <v>7</v>
      </c>
      <c r="C39" s="15" t="s">
        <v>108</v>
      </c>
      <c r="D39" s="15" t="s">
        <v>123</v>
      </c>
      <c r="E39" s="15" t="s">
        <v>62</v>
      </c>
      <c r="F39" s="15" t="s">
        <v>801</v>
      </c>
      <c r="G39" s="15" t="s">
        <v>52</v>
      </c>
      <c r="H39" s="15" t="s">
        <v>124</v>
      </c>
      <c r="I39" s="15" t="s">
        <v>125</v>
      </c>
      <c r="J39" s="15" t="s">
        <v>695</v>
      </c>
      <c r="K39" s="16">
        <v>1</v>
      </c>
      <c r="L39" s="15" t="s">
        <v>636</v>
      </c>
      <c r="M39" s="15">
        <v>2020</v>
      </c>
      <c r="N39" s="30">
        <v>52000000</v>
      </c>
      <c r="Q39" s="20">
        <v>38</v>
      </c>
    </row>
    <row r="40" spans="1:17" ht="45" x14ac:dyDescent="0.25">
      <c r="A40" s="31">
        <v>39</v>
      </c>
      <c r="B40" s="17" t="s">
        <v>7</v>
      </c>
      <c r="C40" s="17" t="s">
        <v>31</v>
      </c>
      <c r="D40" s="17" t="s">
        <v>126</v>
      </c>
      <c r="E40" s="17" t="s">
        <v>10</v>
      </c>
      <c r="F40" s="17" t="s">
        <v>802</v>
      </c>
      <c r="G40" s="17" t="s">
        <v>106</v>
      </c>
      <c r="H40" s="17" t="s">
        <v>29</v>
      </c>
      <c r="I40" s="17" t="s">
        <v>127</v>
      </c>
      <c r="J40" s="17" t="s">
        <v>696</v>
      </c>
      <c r="K40" s="18">
        <v>1</v>
      </c>
      <c r="L40" s="17" t="s">
        <v>636</v>
      </c>
      <c r="M40" s="17">
        <v>2018</v>
      </c>
      <c r="N40" s="32">
        <v>61000000</v>
      </c>
      <c r="Q40" s="20">
        <v>39</v>
      </c>
    </row>
    <row r="41" spans="1:17" ht="30" x14ac:dyDescent="0.25">
      <c r="A41" s="29">
        <v>40</v>
      </c>
      <c r="B41" s="15" t="s">
        <v>7</v>
      </c>
      <c r="C41" s="15" t="s">
        <v>14</v>
      </c>
      <c r="D41" s="15" t="s">
        <v>128</v>
      </c>
      <c r="E41" s="15" t="s">
        <v>129</v>
      </c>
      <c r="F41" s="15" t="s">
        <v>803</v>
      </c>
      <c r="G41" s="15" t="s">
        <v>29</v>
      </c>
      <c r="H41" s="15" t="s">
        <v>130</v>
      </c>
      <c r="I41" s="15" t="s">
        <v>131</v>
      </c>
      <c r="J41" s="15" t="s">
        <v>697</v>
      </c>
      <c r="K41" s="16">
        <v>1</v>
      </c>
      <c r="L41" s="15" t="s">
        <v>645</v>
      </c>
      <c r="M41" s="15">
        <v>2020</v>
      </c>
      <c r="N41" s="30">
        <v>65000000</v>
      </c>
      <c r="Q41" s="20">
        <v>40</v>
      </c>
    </row>
    <row r="42" spans="1:17" ht="45" x14ac:dyDescent="0.25">
      <c r="A42" s="31">
        <v>41</v>
      </c>
      <c r="B42" s="17" t="s">
        <v>7</v>
      </c>
      <c r="C42" s="17" t="s">
        <v>71</v>
      </c>
      <c r="D42" s="17" t="s">
        <v>132</v>
      </c>
      <c r="E42" s="17" t="s">
        <v>10</v>
      </c>
      <c r="F42" s="17" t="s">
        <v>804</v>
      </c>
      <c r="G42" s="17" t="s">
        <v>16</v>
      </c>
      <c r="H42" s="17" t="s">
        <v>52</v>
      </c>
      <c r="I42" s="17" t="s">
        <v>133</v>
      </c>
      <c r="J42" s="17" t="s">
        <v>698</v>
      </c>
      <c r="K42" s="18">
        <v>1</v>
      </c>
      <c r="L42" s="17" t="s">
        <v>645</v>
      </c>
      <c r="M42" s="17">
        <v>2017</v>
      </c>
      <c r="N42" s="32">
        <v>68000000</v>
      </c>
      <c r="Q42" s="20">
        <v>41</v>
      </c>
    </row>
    <row r="43" spans="1:17" ht="30" x14ac:dyDescent="0.25">
      <c r="A43" s="29">
        <v>42</v>
      </c>
      <c r="B43" s="15" t="s">
        <v>7</v>
      </c>
      <c r="C43" s="15" t="s">
        <v>71</v>
      </c>
      <c r="D43" s="15" t="s">
        <v>134</v>
      </c>
      <c r="E43" s="15" t="s">
        <v>10</v>
      </c>
      <c r="F43" s="15" t="s">
        <v>805</v>
      </c>
      <c r="G43" s="15" t="s">
        <v>67</v>
      </c>
      <c r="H43" s="15" t="s">
        <v>23</v>
      </c>
      <c r="I43" s="15" t="s">
        <v>135</v>
      </c>
      <c r="J43" s="15" t="s">
        <v>699</v>
      </c>
      <c r="K43" s="16">
        <v>1</v>
      </c>
      <c r="L43" s="15" t="s">
        <v>645</v>
      </c>
      <c r="M43" s="15">
        <v>2017</v>
      </c>
      <c r="N43" s="30">
        <v>73000000</v>
      </c>
      <c r="Q43" s="20">
        <v>42</v>
      </c>
    </row>
    <row r="44" spans="1:17" ht="30" x14ac:dyDescent="0.25">
      <c r="A44" s="31">
        <v>43</v>
      </c>
      <c r="B44" s="17" t="s">
        <v>7</v>
      </c>
      <c r="C44" s="17" t="s">
        <v>14</v>
      </c>
      <c r="D44" s="17" t="s">
        <v>136</v>
      </c>
      <c r="E44" s="17" t="s">
        <v>10</v>
      </c>
      <c r="F44" s="17" t="s">
        <v>806</v>
      </c>
      <c r="G44" s="17" t="s">
        <v>82</v>
      </c>
      <c r="H44" s="17" t="s">
        <v>110</v>
      </c>
      <c r="I44" s="17" t="s">
        <v>137</v>
      </c>
      <c r="J44" s="17" t="s">
        <v>138</v>
      </c>
      <c r="K44" s="18">
        <v>1</v>
      </c>
      <c r="L44" s="17" t="s">
        <v>636</v>
      </c>
      <c r="M44" s="17">
        <v>2020</v>
      </c>
      <c r="N44" s="32">
        <v>68000000</v>
      </c>
      <c r="Q44" s="20">
        <v>43</v>
      </c>
    </row>
    <row r="45" spans="1:17" ht="45" x14ac:dyDescent="0.25">
      <c r="A45" s="29">
        <v>44</v>
      </c>
      <c r="B45" s="15" t="s">
        <v>7</v>
      </c>
      <c r="C45" s="15" t="s">
        <v>31</v>
      </c>
      <c r="D45" s="15" t="s">
        <v>139</v>
      </c>
      <c r="E45" s="15" t="s">
        <v>140</v>
      </c>
      <c r="F45" s="15" t="s">
        <v>807</v>
      </c>
      <c r="G45" s="15" t="s">
        <v>29</v>
      </c>
      <c r="H45" s="15" t="s">
        <v>37</v>
      </c>
      <c r="I45" s="15" t="s">
        <v>141</v>
      </c>
      <c r="J45" s="15" t="s">
        <v>700</v>
      </c>
      <c r="K45" s="16">
        <v>1</v>
      </c>
      <c r="L45" s="15" t="s">
        <v>636</v>
      </c>
      <c r="M45" s="15">
        <v>2017</v>
      </c>
      <c r="N45" s="30">
        <v>53000000</v>
      </c>
      <c r="Q45" s="20">
        <v>44</v>
      </c>
    </row>
    <row r="46" spans="1:17" ht="45" x14ac:dyDescent="0.25">
      <c r="A46" s="31">
        <v>45</v>
      </c>
      <c r="B46" s="17" t="s">
        <v>7</v>
      </c>
      <c r="C46" s="17" t="s">
        <v>71</v>
      </c>
      <c r="D46" s="17" t="s">
        <v>142</v>
      </c>
      <c r="E46" s="17" t="s">
        <v>97</v>
      </c>
      <c r="F46" s="17" t="s">
        <v>808</v>
      </c>
      <c r="G46" s="17" t="s">
        <v>24</v>
      </c>
      <c r="H46" s="17" t="s">
        <v>88</v>
      </c>
      <c r="I46" s="17" t="s">
        <v>143</v>
      </c>
      <c r="J46" s="17" t="s">
        <v>701</v>
      </c>
      <c r="K46" s="18">
        <v>1</v>
      </c>
      <c r="L46" s="17" t="s">
        <v>636</v>
      </c>
      <c r="M46" s="17">
        <v>2019</v>
      </c>
      <c r="N46" s="32">
        <v>54000000</v>
      </c>
      <c r="Q46" s="20">
        <v>45</v>
      </c>
    </row>
    <row r="47" spans="1:17" ht="45" x14ac:dyDescent="0.25">
      <c r="A47" s="29">
        <v>46</v>
      </c>
      <c r="B47" s="15" t="s">
        <v>7</v>
      </c>
      <c r="C47" s="15" t="s">
        <v>31</v>
      </c>
      <c r="D47" s="15" t="s">
        <v>144</v>
      </c>
      <c r="E47" s="15" t="s">
        <v>10</v>
      </c>
      <c r="F47" s="15" t="s">
        <v>809</v>
      </c>
      <c r="G47" s="15" t="s">
        <v>11</v>
      </c>
      <c r="H47" s="15" t="s">
        <v>33</v>
      </c>
      <c r="I47" s="15" t="s">
        <v>145</v>
      </c>
      <c r="J47" s="15" t="s">
        <v>702</v>
      </c>
      <c r="K47" s="16">
        <v>1</v>
      </c>
      <c r="L47" s="15" t="s">
        <v>636</v>
      </c>
      <c r="M47" s="15">
        <v>2018</v>
      </c>
      <c r="N47" s="30">
        <v>70000000</v>
      </c>
      <c r="Q47" s="20">
        <v>46</v>
      </c>
    </row>
    <row r="48" spans="1:17" ht="45" x14ac:dyDescent="0.25">
      <c r="A48" s="31">
        <v>47</v>
      </c>
      <c r="B48" s="17" t="s">
        <v>7</v>
      </c>
      <c r="C48" s="17" t="s">
        <v>57</v>
      </c>
      <c r="D48" s="17" t="s">
        <v>146</v>
      </c>
      <c r="E48" s="17" t="s">
        <v>10</v>
      </c>
      <c r="F48" s="17" t="s">
        <v>810</v>
      </c>
      <c r="G48" s="17" t="s">
        <v>147</v>
      </c>
      <c r="H48" s="17" t="s">
        <v>55</v>
      </c>
      <c r="I48" s="17" t="s">
        <v>148</v>
      </c>
      <c r="J48" s="17" t="s">
        <v>703</v>
      </c>
      <c r="K48" s="18">
        <v>1</v>
      </c>
      <c r="L48" s="17" t="s">
        <v>645</v>
      </c>
      <c r="M48" s="17">
        <v>2019</v>
      </c>
      <c r="N48" s="32">
        <v>66000000</v>
      </c>
      <c r="Q48" s="20">
        <v>47</v>
      </c>
    </row>
    <row r="49" spans="1:17" ht="30" x14ac:dyDescent="0.25">
      <c r="A49" s="29">
        <v>48</v>
      </c>
      <c r="B49" s="15" t="s">
        <v>7</v>
      </c>
      <c r="C49" s="15" t="s">
        <v>8</v>
      </c>
      <c r="D49" s="15" t="s">
        <v>96</v>
      </c>
      <c r="E49" s="15" t="s">
        <v>62</v>
      </c>
      <c r="F49" s="15" t="s">
        <v>811</v>
      </c>
      <c r="G49" s="15" t="s">
        <v>110</v>
      </c>
      <c r="H49" s="15" t="s">
        <v>130</v>
      </c>
      <c r="I49" s="15" t="s">
        <v>149</v>
      </c>
      <c r="J49" s="15" t="s">
        <v>704</v>
      </c>
      <c r="K49" s="16">
        <v>1</v>
      </c>
      <c r="L49" s="15" t="s">
        <v>645</v>
      </c>
      <c r="M49" s="15">
        <v>2018</v>
      </c>
      <c r="N49" s="30">
        <v>72000000</v>
      </c>
      <c r="Q49" s="20">
        <v>48</v>
      </c>
    </row>
    <row r="50" spans="1:17" ht="30" x14ac:dyDescent="0.25">
      <c r="A50" s="31">
        <v>49</v>
      </c>
      <c r="B50" s="17" t="s">
        <v>7</v>
      </c>
      <c r="C50" s="17" t="s">
        <v>103</v>
      </c>
      <c r="D50" s="17" t="s">
        <v>150</v>
      </c>
      <c r="E50" s="17" t="s">
        <v>10</v>
      </c>
      <c r="F50" s="17" t="s">
        <v>812</v>
      </c>
      <c r="G50" s="17" t="s">
        <v>130</v>
      </c>
      <c r="H50" s="17" t="s">
        <v>33</v>
      </c>
      <c r="I50" s="17" t="s">
        <v>151</v>
      </c>
      <c r="J50" s="17" t="s">
        <v>152</v>
      </c>
      <c r="K50" s="18">
        <v>1</v>
      </c>
      <c r="L50" s="17" t="s">
        <v>636</v>
      </c>
      <c r="M50" s="17">
        <v>2017</v>
      </c>
      <c r="N50" s="32">
        <v>56000000</v>
      </c>
      <c r="Q50" s="20">
        <v>49</v>
      </c>
    </row>
    <row r="51" spans="1:17" ht="45" x14ac:dyDescent="0.25">
      <c r="A51" s="29">
        <v>50</v>
      </c>
      <c r="B51" s="15" t="s">
        <v>7</v>
      </c>
      <c r="C51" s="15" t="s">
        <v>8</v>
      </c>
      <c r="D51" s="15" t="s">
        <v>79</v>
      </c>
      <c r="E51" s="15" t="s">
        <v>635</v>
      </c>
      <c r="F51" s="15" t="s">
        <v>813</v>
      </c>
      <c r="G51" s="15" t="s">
        <v>55</v>
      </c>
      <c r="H51" s="15" t="s">
        <v>88</v>
      </c>
      <c r="I51" s="15" t="s">
        <v>153</v>
      </c>
      <c r="J51" s="15" t="s">
        <v>705</v>
      </c>
      <c r="K51" s="16">
        <v>1</v>
      </c>
      <c r="L51" s="15" t="s">
        <v>645</v>
      </c>
      <c r="M51" s="15">
        <v>2018</v>
      </c>
      <c r="N51" s="30">
        <v>74000000</v>
      </c>
      <c r="Q51" s="20">
        <v>50</v>
      </c>
    </row>
    <row r="52" spans="1:17" ht="45" x14ac:dyDescent="0.25">
      <c r="A52" s="31">
        <v>51</v>
      </c>
      <c r="B52" s="17" t="s">
        <v>7</v>
      </c>
      <c r="C52" s="17" t="s">
        <v>103</v>
      </c>
      <c r="D52" s="17" t="s">
        <v>154</v>
      </c>
      <c r="E52" s="17" t="s">
        <v>10</v>
      </c>
      <c r="F52" s="17" t="s">
        <v>814</v>
      </c>
      <c r="G52" s="17" t="s">
        <v>124</v>
      </c>
      <c r="H52" s="17" t="s">
        <v>12</v>
      </c>
      <c r="I52" s="17" t="s">
        <v>155</v>
      </c>
      <c r="J52" s="17" t="s">
        <v>156</v>
      </c>
      <c r="K52" s="18">
        <v>1</v>
      </c>
      <c r="L52" s="17" t="s">
        <v>645</v>
      </c>
      <c r="M52" s="17">
        <v>2017</v>
      </c>
      <c r="N52" s="32">
        <v>60000000</v>
      </c>
      <c r="Q52" s="20">
        <v>51</v>
      </c>
    </row>
    <row r="53" spans="1:17" ht="45" x14ac:dyDescent="0.25">
      <c r="A53" s="29">
        <v>52</v>
      </c>
      <c r="B53" s="15" t="s">
        <v>7</v>
      </c>
      <c r="C53" s="15" t="s">
        <v>50</v>
      </c>
      <c r="D53" s="15" t="s">
        <v>157</v>
      </c>
      <c r="E53" s="15" t="s">
        <v>62</v>
      </c>
      <c r="F53" s="15" t="s">
        <v>815</v>
      </c>
      <c r="G53" s="15" t="s">
        <v>33</v>
      </c>
      <c r="H53" s="15" t="s">
        <v>77</v>
      </c>
      <c r="I53" s="15" t="s">
        <v>158</v>
      </c>
      <c r="J53" s="15" t="s">
        <v>706</v>
      </c>
      <c r="K53" s="16">
        <v>2</v>
      </c>
      <c r="L53" s="15" t="s">
        <v>645</v>
      </c>
      <c r="M53" s="15">
        <v>2019</v>
      </c>
      <c r="N53" s="30">
        <v>73000000</v>
      </c>
      <c r="Q53" s="20">
        <v>52</v>
      </c>
    </row>
    <row r="54" spans="1:17" ht="45" x14ac:dyDescent="0.25">
      <c r="A54" s="31">
        <v>53</v>
      </c>
      <c r="B54" s="17" t="s">
        <v>7</v>
      </c>
      <c r="C54" s="17" t="s">
        <v>43</v>
      </c>
      <c r="D54" s="17" t="s">
        <v>159</v>
      </c>
      <c r="E54" s="17" t="s">
        <v>10</v>
      </c>
      <c r="F54" s="17" t="s">
        <v>816</v>
      </c>
      <c r="G54" s="17" t="s">
        <v>88</v>
      </c>
      <c r="H54" s="17" t="s">
        <v>88</v>
      </c>
      <c r="I54" s="17" t="s">
        <v>160</v>
      </c>
      <c r="J54" s="17" t="s">
        <v>707</v>
      </c>
      <c r="K54" s="18">
        <v>1</v>
      </c>
      <c r="L54" s="17" t="s">
        <v>636</v>
      </c>
      <c r="M54" s="17">
        <v>2020</v>
      </c>
      <c r="N54" s="32">
        <v>63000000</v>
      </c>
      <c r="Q54" s="20">
        <v>53</v>
      </c>
    </row>
    <row r="55" spans="1:17" ht="45" x14ac:dyDescent="0.25">
      <c r="A55" s="29">
        <v>54</v>
      </c>
      <c r="B55" s="15" t="s">
        <v>7</v>
      </c>
      <c r="C55" s="15" t="s">
        <v>14</v>
      </c>
      <c r="D55" s="15" t="s">
        <v>161</v>
      </c>
      <c r="E55" s="15" t="s">
        <v>10</v>
      </c>
      <c r="F55" s="15" t="s">
        <v>817</v>
      </c>
      <c r="G55" s="15" t="s">
        <v>115</v>
      </c>
      <c r="H55" s="15" t="s">
        <v>115</v>
      </c>
      <c r="I55" s="15" t="s">
        <v>162</v>
      </c>
      <c r="J55" s="15" t="s">
        <v>708</v>
      </c>
      <c r="K55" s="16">
        <v>1</v>
      </c>
      <c r="L55" s="15" t="s">
        <v>645</v>
      </c>
      <c r="M55" s="15">
        <v>2018</v>
      </c>
      <c r="N55" s="30">
        <v>58000000</v>
      </c>
      <c r="Q55" s="20">
        <v>54</v>
      </c>
    </row>
    <row r="56" spans="1:17" ht="45" x14ac:dyDescent="0.25">
      <c r="A56" s="31">
        <v>55</v>
      </c>
      <c r="B56" s="17" t="s">
        <v>7</v>
      </c>
      <c r="C56" s="17" t="s">
        <v>108</v>
      </c>
      <c r="D56" s="17" t="s">
        <v>163</v>
      </c>
      <c r="E56" s="17" t="s">
        <v>62</v>
      </c>
      <c r="F56" s="17" t="s">
        <v>818</v>
      </c>
      <c r="G56" s="17" t="s">
        <v>147</v>
      </c>
      <c r="H56" s="17" t="s">
        <v>48</v>
      </c>
      <c r="I56" s="17" t="s">
        <v>164</v>
      </c>
      <c r="J56" s="17" t="s">
        <v>709</v>
      </c>
      <c r="K56" s="18">
        <v>1</v>
      </c>
      <c r="L56" s="17" t="s">
        <v>636</v>
      </c>
      <c r="M56" s="17">
        <v>2018</v>
      </c>
      <c r="N56" s="32">
        <v>61000000</v>
      </c>
      <c r="Q56" s="20">
        <v>55</v>
      </c>
    </row>
    <row r="57" spans="1:17" ht="45" x14ac:dyDescent="0.25">
      <c r="A57" s="29">
        <v>56</v>
      </c>
      <c r="B57" s="15" t="s">
        <v>7</v>
      </c>
      <c r="C57" s="15" t="s">
        <v>60</v>
      </c>
      <c r="D57" s="15" t="s">
        <v>165</v>
      </c>
      <c r="E57" s="15" t="s">
        <v>62</v>
      </c>
      <c r="F57" s="15" t="s">
        <v>819</v>
      </c>
      <c r="G57" s="15" t="s">
        <v>82</v>
      </c>
      <c r="H57" s="15" t="s">
        <v>11</v>
      </c>
      <c r="I57" s="15" t="s">
        <v>166</v>
      </c>
      <c r="J57" s="15" t="s">
        <v>710</v>
      </c>
      <c r="K57" s="16">
        <v>2</v>
      </c>
      <c r="L57" s="15" t="s">
        <v>645</v>
      </c>
      <c r="M57" s="15">
        <v>2019</v>
      </c>
      <c r="N57" s="30">
        <v>55000000</v>
      </c>
      <c r="Q57" s="20">
        <v>56</v>
      </c>
    </row>
    <row r="58" spans="1:17" ht="45" x14ac:dyDescent="0.25">
      <c r="A58" s="31">
        <v>57</v>
      </c>
      <c r="B58" s="17" t="s">
        <v>7</v>
      </c>
      <c r="C58" s="17" t="s">
        <v>71</v>
      </c>
      <c r="D58" s="17" t="s">
        <v>167</v>
      </c>
      <c r="E58" s="17" t="s">
        <v>220</v>
      </c>
      <c r="F58" s="17" t="s">
        <v>820</v>
      </c>
      <c r="G58" s="17" t="s">
        <v>82</v>
      </c>
      <c r="H58" s="17" t="s">
        <v>63</v>
      </c>
      <c r="I58" s="17" t="s">
        <v>168</v>
      </c>
      <c r="J58" s="17" t="s">
        <v>169</v>
      </c>
      <c r="K58" s="18">
        <v>3</v>
      </c>
      <c r="L58" s="17" t="s">
        <v>636</v>
      </c>
      <c r="M58" s="17">
        <v>2017</v>
      </c>
      <c r="N58" s="32">
        <v>61000000</v>
      </c>
      <c r="Q58" s="20">
        <v>57</v>
      </c>
    </row>
    <row r="59" spans="1:17" ht="45" x14ac:dyDescent="0.25">
      <c r="A59" s="29">
        <v>58</v>
      </c>
      <c r="B59" s="15" t="s">
        <v>7</v>
      </c>
      <c r="C59" s="15" t="s">
        <v>60</v>
      </c>
      <c r="D59" s="15" t="s">
        <v>170</v>
      </c>
      <c r="E59" s="15" t="s">
        <v>10</v>
      </c>
      <c r="F59" s="15" t="s">
        <v>821</v>
      </c>
      <c r="G59" s="15" t="s">
        <v>16</v>
      </c>
      <c r="H59" s="15" t="s">
        <v>124</v>
      </c>
      <c r="I59" s="15" t="s">
        <v>171</v>
      </c>
      <c r="J59" s="15" t="s">
        <v>711</v>
      </c>
      <c r="K59" s="16">
        <v>2</v>
      </c>
      <c r="L59" s="15" t="s">
        <v>645</v>
      </c>
      <c r="M59" s="15">
        <v>2019</v>
      </c>
      <c r="N59" s="30">
        <v>56000000</v>
      </c>
      <c r="Q59" s="20">
        <v>58</v>
      </c>
    </row>
    <row r="60" spans="1:17" ht="45" x14ac:dyDescent="0.25">
      <c r="A60" s="31">
        <v>59</v>
      </c>
      <c r="B60" s="17" t="s">
        <v>7</v>
      </c>
      <c r="C60" s="17" t="s">
        <v>71</v>
      </c>
      <c r="D60" s="17" t="s">
        <v>172</v>
      </c>
      <c r="E60" s="17" t="s">
        <v>173</v>
      </c>
      <c r="F60" s="17" t="s">
        <v>822</v>
      </c>
      <c r="G60" s="17" t="s">
        <v>115</v>
      </c>
      <c r="H60" s="17" t="s">
        <v>55</v>
      </c>
      <c r="I60" s="17" t="s">
        <v>174</v>
      </c>
      <c r="J60" s="17" t="s">
        <v>712</v>
      </c>
      <c r="K60" s="18">
        <v>1</v>
      </c>
      <c r="L60" s="17" t="s">
        <v>645</v>
      </c>
      <c r="M60" s="17">
        <v>2020</v>
      </c>
      <c r="N60" s="32">
        <v>58000000</v>
      </c>
      <c r="Q60" s="20">
        <v>59</v>
      </c>
    </row>
    <row r="61" spans="1:17" ht="45" x14ac:dyDescent="0.25">
      <c r="A61" s="29">
        <v>60</v>
      </c>
      <c r="B61" s="15" t="s">
        <v>7</v>
      </c>
      <c r="C61" s="15" t="s">
        <v>31</v>
      </c>
      <c r="D61" s="15" t="s">
        <v>175</v>
      </c>
      <c r="E61" s="15" t="s">
        <v>10</v>
      </c>
      <c r="F61" s="15" t="s">
        <v>823</v>
      </c>
      <c r="G61" s="15" t="s">
        <v>106</v>
      </c>
      <c r="H61" s="15" t="s">
        <v>63</v>
      </c>
      <c r="I61" s="15" t="s">
        <v>176</v>
      </c>
      <c r="J61" s="15" t="s">
        <v>713</v>
      </c>
      <c r="K61" s="16">
        <v>1</v>
      </c>
      <c r="L61" s="15" t="s">
        <v>636</v>
      </c>
      <c r="M61" s="15">
        <v>2017</v>
      </c>
      <c r="N61" s="30">
        <v>68000000</v>
      </c>
      <c r="Q61" s="20">
        <v>60</v>
      </c>
    </row>
    <row r="62" spans="1:17" ht="30" x14ac:dyDescent="0.25">
      <c r="A62" s="31">
        <v>61</v>
      </c>
      <c r="B62" s="17" t="s">
        <v>7</v>
      </c>
      <c r="C62" s="17" t="s">
        <v>86</v>
      </c>
      <c r="D62" s="17" t="s">
        <v>177</v>
      </c>
      <c r="E62" s="17" t="s">
        <v>140</v>
      </c>
      <c r="F62" s="17" t="s">
        <v>824</v>
      </c>
      <c r="G62" s="17" t="s">
        <v>147</v>
      </c>
      <c r="H62" s="17" t="s">
        <v>37</v>
      </c>
      <c r="I62" s="17" t="s">
        <v>178</v>
      </c>
      <c r="J62" s="17" t="s">
        <v>714</v>
      </c>
      <c r="K62" s="18">
        <v>1</v>
      </c>
      <c r="L62" s="17" t="s">
        <v>645</v>
      </c>
      <c r="M62" s="17">
        <v>2017</v>
      </c>
      <c r="N62" s="32">
        <v>62000000</v>
      </c>
      <c r="Q62" s="20">
        <v>61</v>
      </c>
    </row>
    <row r="63" spans="1:17" ht="30" x14ac:dyDescent="0.25">
      <c r="A63" s="29">
        <v>62</v>
      </c>
      <c r="B63" s="15" t="s">
        <v>7</v>
      </c>
      <c r="C63" s="15" t="s">
        <v>60</v>
      </c>
      <c r="D63" s="15" t="s">
        <v>179</v>
      </c>
      <c r="E63" s="15" t="s">
        <v>220</v>
      </c>
      <c r="F63" s="15" t="s">
        <v>825</v>
      </c>
      <c r="G63" s="15" t="s">
        <v>115</v>
      </c>
      <c r="H63" s="15" t="s">
        <v>12</v>
      </c>
      <c r="I63" s="15" t="s">
        <v>180</v>
      </c>
      <c r="J63" s="15" t="s">
        <v>181</v>
      </c>
      <c r="K63" s="16">
        <v>1</v>
      </c>
      <c r="L63" s="15" t="s">
        <v>645</v>
      </c>
      <c r="M63" s="15">
        <v>2017</v>
      </c>
      <c r="N63" s="30">
        <v>52000000</v>
      </c>
      <c r="Q63" s="20">
        <v>62</v>
      </c>
    </row>
    <row r="64" spans="1:17" ht="45" x14ac:dyDescent="0.25">
      <c r="A64" s="31">
        <v>63</v>
      </c>
      <c r="B64" s="17" t="s">
        <v>7</v>
      </c>
      <c r="C64" s="17" t="s">
        <v>60</v>
      </c>
      <c r="D64" s="17" t="s">
        <v>182</v>
      </c>
      <c r="E64" s="17" t="s">
        <v>10</v>
      </c>
      <c r="F64" s="17" t="s">
        <v>826</v>
      </c>
      <c r="G64" s="17" t="s">
        <v>77</v>
      </c>
      <c r="H64" s="17" t="s">
        <v>12</v>
      </c>
      <c r="I64" s="17" t="s">
        <v>183</v>
      </c>
      <c r="J64" s="17" t="s">
        <v>715</v>
      </c>
      <c r="K64" s="18">
        <v>3</v>
      </c>
      <c r="L64" s="17" t="s">
        <v>636</v>
      </c>
      <c r="M64" s="17">
        <v>2019</v>
      </c>
      <c r="N64" s="32">
        <v>55000000</v>
      </c>
      <c r="Q64" s="20">
        <v>63</v>
      </c>
    </row>
    <row r="65" spans="1:17" ht="45" x14ac:dyDescent="0.25">
      <c r="A65" s="29">
        <v>64</v>
      </c>
      <c r="B65" s="15" t="s">
        <v>7</v>
      </c>
      <c r="C65" s="15" t="s">
        <v>8</v>
      </c>
      <c r="D65" s="15" t="s">
        <v>184</v>
      </c>
      <c r="E65" s="15" t="s">
        <v>173</v>
      </c>
      <c r="F65" s="15" t="s">
        <v>827</v>
      </c>
      <c r="G65" s="15" t="s">
        <v>41</v>
      </c>
      <c r="H65" s="15" t="s">
        <v>37</v>
      </c>
      <c r="I65" s="15" t="s">
        <v>185</v>
      </c>
      <c r="J65" s="15" t="s">
        <v>716</v>
      </c>
      <c r="K65" s="16">
        <v>3</v>
      </c>
      <c r="L65" s="15" t="s">
        <v>636</v>
      </c>
      <c r="M65" s="15">
        <v>2019</v>
      </c>
      <c r="N65" s="30">
        <v>64000000</v>
      </c>
      <c r="Q65" s="20">
        <v>64</v>
      </c>
    </row>
    <row r="66" spans="1:17" ht="30" x14ac:dyDescent="0.25">
      <c r="A66" s="31">
        <v>65</v>
      </c>
      <c r="B66" s="17" t="s">
        <v>7</v>
      </c>
      <c r="C66" s="17" t="s">
        <v>86</v>
      </c>
      <c r="D66" s="17" t="s">
        <v>177</v>
      </c>
      <c r="E66" s="17" t="s">
        <v>97</v>
      </c>
      <c r="F66" s="17" t="s">
        <v>828</v>
      </c>
      <c r="G66" s="17" t="s">
        <v>33</v>
      </c>
      <c r="H66" s="17" t="s">
        <v>24</v>
      </c>
      <c r="I66" s="17" t="s">
        <v>186</v>
      </c>
      <c r="J66" s="17" t="s">
        <v>187</v>
      </c>
      <c r="K66" s="18">
        <v>1</v>
      </c>
      <c r="L66" s="17" t="s">
        <v>645</v>
      </c>
      <c r="M66" s="17">
        <v>2018</v>
      </c>
      <c r="N66" s="32">
        <v>58000000</v>
      </c>
      <c r="Q66" s="20">
        <v>65</v>
      </c>
    </row>
    <row r="67" spans="1:17" ht="45" x14ac:dyDescent="0.25">
      <c r="A67" s="29">
        <v>66</v>
      </c>
      <c r="B67" s="15" t="s">
        <v>7</v>
      </c>
      <c r="C67" s="15" t="s">
        <v>60</v>
      </c>
      <c r="D67" s="15" t="s">
        <v>188</v>
      </c>
      <c r="E67" s="15" t="s">
        <v>140</v>
      </c>
      <c r="F67" s="15" t="s">
        <v>829</v>
      </c>
      <c r="G67" s="15" t="s">
        <v>11</v>
      </c>
      <c r="H67" s="15" t="s">
        <v>33</v>
      </c>
      <c r="I67" s="15" t="s">
        <v>189</v>
      </c>
      <c r="J67" s="15" t="s">
        <v>717</v>
      </c>
      <c r="K67" s="16">
        <v>1</v>
      </c>
      <c r="L67" s="15" t="s">
        <v>636</v>
      </c>
      <c r="M67" s="15">
        <v>2017</v>
      </c>
      <c r="N67" s="30">
        <v>64000000</v>
      </c>
      <c r="Q67" s="20">
        <v>66</v>
      </c>
    </row>
    <row r="68" spans="1:17" ht="45" x14ac:dyDescent="0.25">
      <c r="A68" s="31">
        <v>67</v>
      </c>
      <c r="B68" s="17" t="s">
        <v>7</v>
      </c>
      <c r="C68" s="17" t="s">
        <v>71</v>
      </c>
      <c r="D68" s="17" t="s">
        <v>190</v>
      </c>
      <c r="E68" s="17" t="s">
        <v>10</v>
      </c>
      <c r="F68" s="17" t="s">
        <v>257</v>
      </c>
      <c r="G68" s="17" t="s">
        <v>67</v>
      </c>
      <c r="H68" s="17" t="s">
        <v>33</v>
      </c>
      <c r="I68" s="17" t="s">
        <v>191</v>
      </c>
      <c r="J68" s="17" t="s">
        <v>718</v>
      </c>
      <c r="K68" s="18">
        <v>1</v>
      </c>
      <c r="L68" s="17" t="s">
        <v>645</v>
      </c>
      <c r="M68" s="17">
        <v>2019</v>
      </c>
      <c r="N68" s="32">
        <v>50000000</v>
      </c>
      <c r="Q68" s="20">
        <v>67</v>
      </c>
    </row>
    <row r="69" spans="1:17" ht="45" x14ac:dyDescent="0.25">
      <c r="A69" s="29">
        <v>68</v>
      </c>
      <c r="B69" s="15" t="s">
        <v>7</v>
      </c>
      <c r="C69" s="15" t="s">
        <v>71</v>
      </c>
      <c r="D69" s="15" t="s">
        <v>192</v>
      </c>
      <c r="E69" s="15" t="s">
        <v>10</v>
      </c>
      <c r="F69" s="15" t="s">
        <v>830</v>
      </c>
      <c r="G69" s="15" t="s">
        <v>12</v>
      </c>
      <c r="H69" s="15" t="s">
        <v>110</v>
      </c>
      <c r="I69" s="15" t="s">
        <v>193</v>
      </c>
      <c r="J69" s="15" t="s">
        <v>719</v>
      </c>
      <c r="K69" s="16">
        <v>1</v>
      </c>
      <c r="L69" s="15" t="s">
        <v>645</v>
      </c>
      <c r="M69" s="15">
        <v>2019</v>
      </c>
      <c r="N69" s="30">
        <v>50000000</v>
      </c>
      <c r="Q69" s="20">
        <v>68</v>
      </c>
    </row>
    <row r="70" spans="1:17" ht="30" x14ac:dyDescent="0.25">
      <c r="A70" s="31">
        <v>69</v>
      </c>
      <c r="B70" s="17" t="s">
        <v>7</v>
      </c>
      <c r="C70" s="17" t="s">
        <v>8</v>
      </c>
      <c r="D70" s="17" t="s">
        <v>194</v>
      </c>
      <c r="E70" s="17" t="s">
        <v>140</v>
      </c>
      <c r="F70" s="17" t="s">
        <v>831</v>
      </c>
      <c r="G70" s="17" t="s">
        <v>82</v>
      </c>
      <c r="H70" s="17" t="s">
        <v>33</v>
      </c>
      <c r="I70" s="17" t="s">
        <v>195</v>
      </c>
      <c r="J70" s="17" t="s">
        <v>720</v>
      </c>
      <c r="K70" s="18">
        <v>1</v>
      </c>
      <c r="L70" s="17" t="s">
        <v>636</v>
      </c>
      <c r="M70" s="17">
        <v>2020</v>
      </c>
      <c r="N70" s="32">
        <v>59000000</v>
      </c>
      <c r="Q70" s="20">
        <v>69</v>
      </c>
    </row>
    <row r="71" spans="1:17" ht="30" x14ac:dyDescent="0.25">
      <c r="A71" s="29">
        <v>70</v>
      </c>
      <c r="B71" s="15" t="s">
        <v>7</v>
      </c>
      <c r="C71" s="15" t="s">
        <v>108</v>
      </c>
      <c r="D71" s="15" t="s">
        <v>196</v>
      </c>
      <c r="E71" s="15" t="s">
        <v>10</v>
      </c>
      <c r="F71" s="15" t="s">
        <v>832</v>
      </c>
      <c r="G71" s="15" t="s">
        <v>67</v>
      </c>
      <c r="H71" s="15" t="s">
        <v>77</v>
      </c>
      <c r="I71" s="15" t="s">
        <v>197</v>
      </c>
      <c r="J71" s="15" t="s">
        <v>721</v>
      </c>
      <c r="K71" s="16">
        <v>1</v>
      </c>
      <c r="L71" s="15" t="s">
        <v>645</v>
      </c>
      <c r="M71" s="15">
        <v>2020</v>
      </c>
      <c r="N71" s="30">
        <v>53000000</v>
      </c>
      <c r="Q71" s="20">
        <v>70</v>
      </c>
    </row>
    <row r="72" spans="1:17" ht="45" x14ac:dyDescent="0.25">
      <c r="A72" s="31">
        <v>71</v>
      </c>
      <c r="B72" s="17" t="s">
        <v>7</v>
      </c>
      <c r="C72" s="17" t="s">
        <v>31</v>
      </c>
      <c r="D72" s="17" t="s">
        <v>198</v>
      </c>
      <c r="E72" s="17" t="s">
        <v>10</v>
      </c>
      <c r="F72" s="17" t="s">
        <v>833</v>
      </c>
      <c r="G72" s="17" t="s">
        <v>63</v>
      </c>
      <c r="H72" s="17" t="s">
        <v>23</v>
      </c>
      <c r="I72" s="17" t="s">
        <v>199</v>
      </c>
      <c r="J72" s="17" t="s">
        <v>722</v>
      </c>
      <c r="K72" s="18">
        <v>1</v>
      </c>
      <c r="L72" s="17" t="s">
        <v>636</v>
      </c>
      <c r="M72" s="17">
        <v>2020</v>
      </c>
      <c r="N72" s="32">
        <v>57000000</v>
      </c>
      <c r="Q72" s="20">
        <v>71</v>
      </c>
    </row>
    <row r="73" spans="1:17" ht="45" x14ac:dyDescent="0.25">
      <c r="A73" s="29">
        <v>72</v>
      </c>
      <c r="B73" s="15" t="s">
        <v>7</v>
      </c>
      <c r="C73" s="15" t="s">
        <v>71</v>
      </c>
      <c r="D73" s="15" t="s">
        <v>200</v>
      </c>
      <c r="E73" s="15" t="s">
        <v>10</v>
      </c>
      <c r="F73" s="15" t="s">
        <v>834</v>
      </c>
      <c r="G73" s="15" t="s">
        <v>55</v>
      </c>
      <c r="H73" s="15" t="s">
        <v>106</v>
      </c>
      <c r="I73" s="15" t="s">
        <v>201</v>
      </c>
      <c r="J73" s="15" t="s">
        <v>723</v>
      </c>
      <c r="K73" s="16">
        <v>3</v>
      </c>
      <c r="L73" s="15" t="s">
        <v>636</v>
      </c>
      <c r="M73" s="15">
        <v>2020</v>
      </c>
      <c r="N73" s="30">
        <v>66000000</v>
      </c>
      <c r="Q73" s="20">
        <v>72</v>
      </c>
    </row>
    <row r="74" spans="1:17" ht="30" x14ac:dyDescent="0.25">
      <c r="A74" s="31">
        <v>73</v>
      </c>
      <c r="B74" s="17" t="s">
        <v>7</v>
      </c>
      <c r="C74" s="17" t="s">
        <v>71</v>
      </c>
      <c r="D74" s="17" t="s">
        <v>202</v>
      </c>
      <c r="E74" s="17" t="s">
        <v>62</v>
      </c>
      <c r="F74" s="17" t="s">
        <v>835</v>
      </c>
      <c r="G74" s="17" t="s">
        <v>147</v>
      </c>
      <c r="H74" s="17" t="s">
        <v>28</v>
      </c>
      <c r="I74" s="17" t="s">
        <v>203</v>
      </c>
      <c r="J74" s="17" t="s">
        <v>724</v>
      </c>
      <c r="K74" s="18">
        <v>3</v>
      </c>
      <c r="L74" s="17" t="s">
        <v>636</v>
      </c>
      <c r="M74" s="17">
        <v>2017</v>
      </c>
      <c r="N74" s="32">
        <v>61000000</v>
      </c>
      <c r="Q74" s="20">
        <v>73</v>
      </c>
    </row>
    <row r="75" spans="1:17" ht="30" x14ac:dyDescent="0.25">
      <c r="A75" s="29">
        <v>74</v>
      </c>
      <c r="B75" s="15" t="s">
        <v>7</v>
      </c>
      <c r="C75" s="15" t="s">
        <v>18</v>
      </c>
      <c r="D75" s="15" t="s">
        <v>84</v>
      </c>
      <c r="E75" s="15" t="s">
        <v>10</v>
      </c>
      <c r="F75" s="15" t="s">
        <v>836</v>
      </c>
      <c r="G75" s="15" t="s">
        <v>124</v>
      </c>
      <c r="H75" s="15" t="s">
        <v>20</v>
      </c>
      <c r="I75" s="15" t="s">
        <v>204</v>
      </c>
      <c r="J75" s="15" t="s">
        <v>205</v>
      </c>
      <c r="K75" s="16">
        <v>1</v>
      </c>
      <c r="L75" s="15" t="s">
        <v>645</v>
      </c>
      <c r="M75" s="15">
        <v>2017</v>
      </c>
      <c r="N75" s="30">
        <v>72000000</v>
      </c>
      <c r="Q75" s="20">
        <v>74</v>
      </c>
    </row>
    <row r="76" spans="1:17" ht="30" x14ac:dyDescent="0.25">
      <c r="A76" s="31">
        <v>75</v>
      </c>
      <c r="B76" s="17" t="s">
        <v>7</v>
      </c>
      <c r="C76" s="17" t="s">
        <v>108</v>
      </c>
      <c r="D76" s="17" t="s">
        <v>206</v>
      </c>
      <c r="E76" s="17" t="s">
        <v>10</v>
      </c>
      <c r="F76" s="17" t="s">
        <v>837</v>
      </c>
      <c r="G76" s="17" t="s">
        <v>28</v>
      </c>
      <c r="H76" s="17" t="s">
        <v>110</v>
      </c>
      <c r="I76" s="17" t="s">
        <v>207</v>
      </c>
      <c r="J76" s="17" t="s">
        <v>725</v>
      </c>
      <c r="K76" s="18">
        <v>3</v>
      </c>
      <c r="L76" s="17" t="s">
        <v>636</v>
      </c>
      <c r="M76" s="17">
        <v>2018</v>
      </c>
      <c r="N76" s="32">
        <v>66000000</v>
      </c>
      <c r="Q76" s="20">
        <v>75</v>
      </c>
    </row>
    <row r="77" spans="1:17" ht="30" x14ac:dyDescent="0.25">
      <c r="A77" s="29">
        <v>76</v>
      </c>
      <c r="B77" s="15" t="s">
        <v>7</v>
      </c>
      <c r="C77" s="15" t="s">
        <v>86</v>
      </c>
      <c r="D77" s="15" t="s">
        <v>208</v>
      </c>
      <c r="E77" s="15" t="s">
        <v>10</v>
      </c>
      <c r="F77" s="15" t="s">
        <v>838</v>
      </c>
      <c r="G77" s="15" t="s">
        <v>130</v>
      </c>
      <c r="H77" s="15" t="s">
        <v>55</v>
      </c>
      <c r="I77" s="15" t="s">
        <v>209</v>
      </c>
      <c r="J77" s="15" t="s">
        <v>726</v>
      </c>
      <c r="K77" s="16">
        <v>1</v>
      </c>
      <c r="L77" s="15" t="s">
        <v>636</v>
      </c>
      <c r="M77" s="15">
        <v>2020</v>
      </c>
      <c r="N77" s="30">
        <v>72000000</v>
      </c>
      <c r="Q77" s="20">
        <v>76</v>
      </c>
    </row>
    <row r="78" spans="1:17" ht="45" x14ac:dyDescent="0.25">
      <c r="A78" s="31">
        <v>77</v>
      </c>
      <c r="B78" s="17" t="s">
        <v>7</v>
      </c>
      <c r="C78" s="17" t="s">
        <v>71</v>
      </c>
      <c r="D78" s="17" t="s">
        <v>210</v>
      </c>
      <c r="E78" s="17" t="s">
        <v>10</v>
      </c>
      <c r="F78" s="17" t="s">
        <v>839</v>
      </c>
      <c r="G78" s="17" t="s">
        <v>11</v>
      </c>
      <c r="H78" s="17" t="s">
        <v>147</v>
      </c>
      <c r="I78" s="17" t="s">
        <v>211</v>
      </c>
      <c r="J78" s="17" t="s">
        <v>727</v>
      </c>
      <c r="K78" s="18">
        <v>1</v>
      </c>
      <c r="L78" s="17" t="s">
        <v>645</v>
      </c>
      <c r="M78" s="17">
        <v>2017</v>
      </c>
      <c r="N78" s="32">
        <v>72000000</v>
      </c>
      <c r="Q78" s="20">
        <v>77</v>
      </c>
    </row>
    <row r="79" spans="1:17" ht="30" x14ac:dyDescent="0.25">
      <c r="A79" s="29">
        <v>78</v>
      </c>
      <c r="B79" s="15" t="s">
        <v>7</v>
      </c>
      <c r="C79" s="15" t="s">
        <v>8</v>
      </c>
      <c r="D79" s="15" t="s">
        <v>212</v>
      </c>
      <c r="E79" s="15" t="s">
        <v>10</v>
      </c>
      <c r="F79" s="15" t="s">
        <v>840</v>
      </c>
      <c r="G79" s="15" t="s">
        <v>16</v>
      </c>
      <c r="H79" s="15" t="s">
        <v>36</v>
      </c>
      <c r="I79" s="15" t="s">
        <v>213</v>
      </c>
      <c r="J79" s="15" t="s">
        <v>728</v>
      </c>
      <c r="K79" s="16">
        <v>1</v>
      </c>
      <c r="L79" s="15" t="s">
        <v>636</v>
      </c>
      <c r="M79" s="15">
        <v>2017</v>
      </c>
      <c r="N79" s="30">
        <v>50000000</v>
      </c>
      <c r="Q79" s="20">
        <v>78</v>
      </c>
    </row>
    <row r="80" spans="1:17" ht="60" x14ac:dyDescent="0.25">
      <c r="A80" s="31">
        <v>79</v>
      </c>
      <c r="B80" s="17" t="s">
        <v>7</v>
      </c>
      <c r="C80" s="17" t="s">
        <v>18</v>
      </c>
      <c r="D80" s="17" t="s">
        <v>214</v>
      </c>
      <c r="E80" s="17" t="s">
        <v>97</v>
      </c>
      <c r="F80" s="17" t="s">
        <v>841</v>
      </c>
      <c r="G80" s="17" t="s">
        <v>55</v>
      </c>
      <c r="H80" s="17" t="s">
        <v>215</v>
      </c>
      <c r="I80" s="17" t="s">
        <v>216</v>
      </c>
      <c r="J80" s="17" t="s">
        <v>729</v>
      </c>
      <c r="K80" s="18">
        <v>3</v>
      </c>
      <c r="L80" s="17" t="s">
        <v>636</v>
      </c>
      <c r="M80" s="17">
        <v>2017</v>
      </c>
      <c r="N80" s="32">
        <v>74000000</v>
      </c>
      <c r="Q80" s="20">
        <v>79</v>
      </c>
    </row>
    <row r="81" spans="1:17" ht="45" x14ac:dyDescent="0.25">
      <c r="A81" s="29">
        <v>80</v>
      </c>
      <c r="B81" s="15" t="s">
        <v>7</v>
      </c>
      <c r="C81" s="15" t="s">
        <v>108</v>
      </c>
      <c r="D81" s="15" t="s">
        <v>217</v>
      </c>
      <c r="E81" s="15" t="s">
        <v>62</v>
      </c>
      <c r="F81" s="15" t="s">
        <v>842</v>
      </c>
      <c r="G81" s="15" t="s">
        <v>88</v>
      </c>
      <c r="H81" s="15" t="s">
        <v>115</v>
      </c>
      <c r="I81" s="15" t="s">
        <v>218</v>
      </c>
      <c r="J81" s="15" t="s">
        <v>730</v>
      </c>
      <c r="K81" s="16">
        <v>1</v>
      </c>
      <c r="L81" s="15" t="s">
        <v>636</v>
      </c>
      <c r="M81" s="15">
        <v>2020</v>
      </c>
      <c r="N81" s="30">
        <v>58000000</v>
      </c>
      <c r="Q81" s="20">
        <v>80</v>
      </c>
    </row>
    <row r="82" spans="1:17" ht="30" x14ac:dyDescent="0.25">
      <c r="A82" s="31">
        <v>81</v>
      </c>
      <c r="B82" s="17" t="s">
        <v>7</v>
      </c>
      <c r="C82" s="17" t="s">
        <v>8</v>
      </c>
      <c r="D82" s="17" t="s">
        <v>219</v>
      </c>
      <c r="E82" s="17" t="s">
        <v>220</v>
      </c>
      <c r="F82" s="17" t="s">
        <v>843</v>
      </c>
      <c r="G82" s="17" t="s">
        <v>28</v>
      </c>
      <c r="H82" s="17" t="s">
        <v>130</v>
      </c>
      <c r="I82" s="17" t="s">
        <v>221</v>
      </c>
      <c r="J82" s="17" t="s">
        <v>731</v>
      </c>
      <c r="K82" s="18">
        <v>1</v>
      </c>
      <c r="L82" s="17" t="s">
        <v>636</v>
      </c>
      <c r="M82" s="17">
        <v>2020</v>
      </c>
      <c r="N82" s="32">
        <v>57000000</v>
      </c>
      <c r="Q82" s="20">
        <v>81</v>
      </c>
    </row>
    <row r="83" spans="1:17" ht="30" x14ac:dyDescent="0.25">
      <c r="A83" s="29">
        <v>82</v>
      </c>
      <c r="B83" s="15" t="s">
        <v>7</v>
      </c>
      <c r="C83" s="15" t="s">
        <v>60</v>
      </c>
      <c r="D83" s="15" t="s">
        <v>165</v>
      </c>
      <c r="E83" s="15" t="s">
        <v>10</v>
      </c>
      <c r="F83" s="15" t="s">
        <v>844</v>
      </c>
      <c r="G83" s="15" t="s">
        <v>29</v>
      </c>
      <c r="H83" s="15" t="s">
        <v>115</v>
      </c>
      <c r="I83" s="15" t="s">
        <v>222</v>
      </c>
      <c r="J83" s="15" t="s">
        <v>223</v>
      </c>
      <c r="K83" s="16">
        <v>1</v>
      </c>
      <c r="L83" s="15" t="s">
        <v>636</v>
      </c>
      <c r="M83" s="15">
        <v>2020</v>
      </c>
      <c r="N83" s="30">
        <v>59000000</v>
      </c>
      <c r="Q83" s="20">
        <v>82</v>
      </c>
    </row>
    <row r="84" spans="1:17" ht="45" x14ac:dyDescent="0.25">
      <c r="A84" s="31">
        <v>83</v>
      </c>
      <c r="B84" s="17" t="s">
        <v>7</v>
      </c>
      <c r="C84" s="17" t="s">
        <v>71</v>
      </c>
      <c r="D84" s="17" t="s">
        <v>142</v>
      </c>
      <c r="E84" s="17" t="s">
        <v>10</v>
      </c>
      <c r="F84" s="17" t="s">
        <v>845</v>
      </c>
      <c r="G84" s="17" t="s">
        <v>12</v>
      </c>
      <c r="H84" s="17" t="s">
        <v>130</v>
      </c>
      <c r="I84" s="17" t="s">
        <v>224</v>
      </c>
      <c r="J84" s="17" t="s">
        <v>732</v>
      </c>
      <c r="K84" s="18">
        <v>1</v>
      </c>
      <c r="L84" s="17" t="s">
        <v>645</v>
      </c>
      <c r="M84" s="17">
        <v>2020</v>
      </c>
      <c r="N84" s="32">
        <v>52000000</v>
      </c>
      <c r="Q84" s="20">
        <v>83</v>
      </c>
    </row>
    <row r="85" spans="1:17" ht="30" x14ac:dyDescent="0.25">
      <c r="A85" s="29">
        <v>84</v>
      </c>
      <c r="B85" s="15" t="s">
        <v>7</v>
      </c>
      <c r="C85" s="15" t="s">
        <v>14</v>
      </c>
      <c r="D85" s="15" t="s">
        <v>225</v>
      </c>
      <c r="E85" s="15" t="s">
        <v>10</v>
      </c>
      <c r="F85" s="15" t="s">
        <v>846</v>
      </c>
      <c r="G85" s="15" t="s">
        <v>124</v>
      </c>
      <c r="H85" s="15" t="s">
        <v>124</v>
      </c>
      <c r="I85" s="15" t="s">
        <v>226</v>
      </c>
      <c r="J85" s="15" t="s">
        <v>733</v>
      </c>
      <c r="K85" s="16">
        <v>1</v>
      </c>
      <c r="L85" s="15" t="s">
        <v>636</v>
      </c>
      <c r="M85" s="15">
        <v>2017</v>
      </c>
      <c r="N85" s="30">
        <v>53000000</v>
      </c>
      <c r="Q85" s="20">
        <v>84</v>
      </c>
    </row>
    <row r="86" spans="1:17" ht="30" x14ac:dyDescent="0.25">
      <c r="A86" s="31">
        <v>85</v>
      </c>
      <c r="B86" s="17" t="s">
        <v>7</v>
      </c>
      <c r="C86" s="17" t="s">
        <v>14</v>
      </c>
      <c r="D86" s="17" t="s">
        <v>227</v>
      </c>
      <c r="E86" s="17" t="s">
        <v>10</v>
      </c>
      <c r="F86" s="17" t="s">
        <v>847</v>
      </c>
      <c r="G86" s="17" t="s">
        <v>110</v>
      </c>
      <c r="H86" s="17" t="s">
        <v>55</v>
      </c>
      <c r="I86" s="17" t="s">
        <v>228</v>
      </c>
      <c r="J86" s="17" t="s">
        <v>734</v>
      </c>
      <c r="K86" s="18">
        <v>1</v>
      </c>
      <c r="L86" s="17" t="s">
        <v>645</v>
      </c>
      <c r="M86" s="17">
        <v>2019</v>
      </c>
      <c r="N86" s="32">
        <v>53000000</v>
      </c>
      <c r="Q86" s="20">
        <v>85</v>
      </c>
    </row>
    <row r="87" spans="1:17" ht="30" x14ac:dyDescent="0.25">
      <c r="A87" s="29">
        <v>86</v>
      </c>
      <c r="B87" s="15" t="s">
        <v>7</v>
      </c>
      <c r="C87" s="15" t="s">
        <v>71</v>
      </c>
      <c r="D87" s="15" t="s">
        <v>92</v>
      </c>
      <c r="E87" s="15" t="s">
        <v>10</v>
      </c>
      <c r="F87" s="15" t="s">
        <v>848</v>
      </c>
      <c r="G87" s="15" t="s">
        <v>28</v>
      </c>
      <c r="H87" s="15" t="s">
        <v>48</v>
      </c>
      <c r="I87" s="15" t="s">
        <v>229</v>
      </c>
      <c r="J87" s="15" t="s">
        <v>735</v>
      </c>
      <c r="K87" s="16">
        <v>3</v>
      </c>
      <c r="L87" s="15" t="s">
        <v>636</v>
      </c>
      <c r="M87" s="15">
        <v>2017</v>
      </c>
      <c r="N87" s="30">
        <v>64000000</v>
      </c>
      <c r="Q87" s="20">
        <v>86</v>
      </c>
    </row>
    <row r="88" spans="1:17" ht="30" x14ac:dyDescent="0.25">
      <c r="A88" s="31">
        <v>87</v>
      </c>
      <c r="B88" s="17" t="s">
        <v>7</v>
      </c>
      <c r="C88" s="17" t="s">
        <v>8</v>
      </c>
      <c r="D88" s="17" t="s">
        <v>230</v>
      </c>
      <c r="E88" s="17" t="s">
        <v>10</v>
      </c>
      <c r="F88" s="17" t="s">
        <v>849</v>
      </c>
      <c r="G88" s="17" t="s">
        <v>28</v>
      </c>
      <c r="H88" s="17" t="s">
        <v>23</v>
      </c>
      <c r="I88" s="17" t="s">
        <v>231</v>
      </c>
      <c r="J88" s="17" t="s">
        <v>736</v>
      </c>
      <c r="K88" s="18">
        <v>1</v>
      </c>
      <c r="L88" s="17" t="s">
        <v>636</v>
      </c>
      <c r="M88" s="17">
        <v>2020</v>
      </c>
      <c r="N88" s="32">
        <v>65000000</v>
      </c>
      <c r="Q88" s="20">
        <v>87</v>
      </c>
    </row>
    <row r="89" spans="1:17" ht="45" x14ac:dyDescent="0.25">
      <c r="A89" s="29">
        <v>88</v>
      </c>
      <c r="B89" s="15" t="s">
        <v>7</v>
      </c>
      <c r="C89" s="15" t="s">
        <v>8</v>
      </c>
      <c r="D89" s="15" t="s">
        <v>194</v>
      </c>
      <c r="E89" s="15" t="s">
        <v>10</v>
      </c>
      <c r="F89" s="15" t="s">
        <v>850</v>
      </c>
      <c r="G89" s="15" t="s">
        <v>48</v>
      </c>
      <c r="H89" s="15" t="s">
        <v>29</v>
      </c>
      <c r="I89" s="15" t="s">
        <v>232</v>
      </c>
      <c r="J89" s="15" t="s">
        <v>233</v>
      </c>
      <c r="K89" s="16">
        <v>1</v>
      </c>
      <c r="L89" s="15" t="s">
        <v>645</v>
      </c>
      <c r="M89" s="15">
        <v>2020</v>
      </c>
      <c r="N89" s="30">
        <v>69000000</v>
      </c>
      <c r="Q89" s="20">
        <v>88</v>
      </c>
    </row>
    <row r="90" spans="1:17" ht="30" x14ac:dyDescent="0.25">
      <c r="A90" s="31">
        <v>89</v>
      </c>
      <c r="B90" s="17" t="s">
        <v>7</v>
      </c>
      <c r="C90" s="17" t="s">
        <v>8</v>
      </c>
      <c r="D90" s="17" t="s">
        <v>234</v>
      </c>
      <c r="E90" s="17" t="s">
        <v>173</v>
      </c>
      <c r="F90" s="17" t="s">
        <v>851</v>
      </c>
      <c r="G90" s="17" t="s">
        <v>63</v>
      </c>
      <c r="H90" s="17" t="s">
        <v>215</v>
      </c>
      <c r="I90" s="17" t="s">
        <v>235</v>
      </c>
      <c r="J90" s="17" t="s">
        <v>737</v>
      </c>
      <c r="K90" s="18">
        <v>1</v>
      </c>
      <c r="L90" s="17" t="s">
        <v>636</v>
      </c>
      <c r="M90" s="17">
        <v>2020</v>
      </c>
      <c r="N90" s="32">
        <v>65000000</v>
      </c>
      <c r="Q90" s="20">
        <v>89</v>
      </c>
    </row>
    <row r="91" spans="1:17" ht="45" x14ac:dyDescent="0.25">
      <c r="A91" s="29">
        <v>90</v>
      </c>
      <c r="B91" s="15" t="s">
        <v>7</v>
      </c>
      <c r="C91" s="15" t="s">
        <v>71</v>
      </c>
      <c r="D91" s="15" t="s">
        <v>236</v>
      </c>
      <c r="E91" s="15" t="s">
        <v>10</v>
      </c>
      <c r="F91" s="15" t="s">
        <v>852</v>
      </c>
      <c r="G91" s="15" t="s">
        <v>67</v>
      </c>
      <c r="H91" s="15" t="s">
        <v>215</v>
      </c>
      <c r="I91" s="15" t="s">
        <v>237</v>
      </c>
      <c r="J91" s="15" t="s">
        <v>738</v>
      </c>
      <c r="K91" s="16">
        <v>1</v>
      </c>
      <c r="L91" s="15" t="s">
        <v>645</v>
      </c>
      <c r="M91" s="15">
        <v>2019</v>
      </c>
      <c r="N91" s="30">
        <v>75000000</v>
      </c>
      <c r="Q91" s="20">
        <v>90</v>
      </c>
    </row>
    <row r="92" spans="1:17" ht="45" x14ac:dyDescent="0.25">
      <c r="A92" s="31">
        <v>91</v>
      </c>
      <c r="B92" s="17" t="s">
        <v>7</v>
      </c>
      <c r="C92" s="17" t="s">
        <v>60</v>
      </c>
      <c r="D92" s="17" t="s">
        <v>238</v>
      </c>
      <c r="E92" s="17" t="s">
        <v>173</v>
      </c>
      <c r="F92" s="17" t="s">
        <v>853</v>
      </c>
      <c r="G92" s="17" t="s">
        <v>41</v>
      </c>
      <c r="H92" s="17" t="s">
        <v>24</v>
      </c>
      <c r="I92" s="17" t="s">
        <v>239</v>
      </c>
      <c r="J92" s="17" t="s">
        <v>739</v>
      </c>
      <c r="K92" s="18">
        <v>1</v>
      </c>
      <c r="L92" s="17" t="s">
        <v>636</v>
      </c>
      <c r="M92" s="17">
        <v>2018</v>
      </c>
      <c r="N92" s="32">
        <v>51000000</v>
      </c>
      <c r="Q92" s="20">
        <v>91</v>
      </c>
    </row>
    <row r="93" spans="1:17" ht="45" x14ac:dyDescent="0.25">
      <c r="A93" s="29">
        <v>92</v>
      </c>
      <c r="B93" s="15" t="s">
        <v>7</v>
      </c>
      <c r="C93" s="15" t="s">
        <v>240</v>
      </c>
      <c r="D93" s="15" t="s">
        <v>241</v>
      </c>
      <c r="E93" s="15" t="s">
        <v>10</v>
      </c>
      <c r="F93" s="15" t="s">
        <v>854</v>
      </c>
      <c r="G93" s="15" t="s">
        <v>37</v>
      </c>
      <c r="H93" s="15" t="s">
        <v>28</v>
      </c>
      <c r="I93" s="15" t="s">
        <v>242</v>
      </c>
      <c r="J93" s="15" t="s">
        <v>740</v>
      </c>
      <c r="K93" s="16">
        <v>1</v>
      </c>
      <c r="L93" s="15" t="s">
        <v>645</v>
      </c>
      <c r="M93" s="15">
        <v>2017</v>
      </c>
      <c r="N93" s="30">
        <v>67000000</v>
      </c>
      <c r="Q93" s="20">
        <v>92</v>
      </c>
    </row>
    <row r="94" spans="1:17" ht="45" x14ac:dyDescent="0.25">
      <c r="A94" s="31">
        <v>93</v>
      </c>
      <c r="B94" s="17" t="s">
        <v>7</v>
      </c>
      <c r="C94" s="17" t="s">
        <v>108</v>
      </c>
      <c r="D94" s="17" t="s">
        <v>123</v>
      </c>
      <c r="E94" s="17" t="s">
        <v>62</v>
      </c>
      <c r="F94" s="17" t="s">
        <v>801</v>
      </c>
      <c r="G94" s="17" t="s">
        <v>130</v>
      </c>
      <c r="H94" s="17" t="s">
        <v>115</v>
      </c>
      <c r="I94" s="17" t="s">
        <v>125</v>
      </c>
      <c r="J94" s="17" t="s">
        <v>741</v>
      </c>
      <c r="K94" s="18">
        <v>1</v>
      </c>
      <c r="L94" s="17" t="s">
        <v>645</v>
      </c>
      <c r="M94" s="17">
        <v>2018</v>
      </c>
      <c r="N94" s="32">
        <v>53000000</v>
      </c>
      <c r="Q94" s="20">
        <v>93</v>
      </c>
    </row>
    <row r="95" spans="1:17" ht="45" x14ac:dyDescent="0.25">
      <c r="A95" s="29">
        <v>94</v>
      </c>
      <c r="B95" s="15" t="s">
        <v>7</v>
      </c>
      <c r="C95" s="15" t="s">
        <v>14</v>
      </c>
      <c r="D95" s="15" t="s">
        <v>243</v>
      </c>
      <c r="E95" s="15" t="s">
        <v>10</v>
      </c>
      <c r="F95" s="15" t="s">
        <v>855</v>
      </c>
      <c r="G95" s="15" t="s">
        <v>77</v>
      </c>
      <c r="H95" s="15" t="s">
        <v>63</v>
      </c>
      <c r="I95" s="15" t="s">
        <v>244</v>
      </c>
      <c r="J95" s="15" t="s">
        <v>742</v>
      </c>
      <c r="K95" s="16">
        <v>3</v>
      </c>
      <c r="L95" s="15" t="s">
        <v>636</v>
      </c>
      <c r="M95" s="15">
        <v>2019</v>
      </c>
      <c r="N95" s="30">
        <v>63000000</v>
      </c>
      <c r="Q95" s="20">
        <v>94</v>
      </c>
    </row>
    <row r="96" spans="1:17" ht="30" x14ac:dyDescent="0.25">
      <c r="A96" s="31">
        <v>95</v>
      </c>
      <c r="B96" s="17" t="s">
        <v>7</v>
      </c>
      <c r="C96" s="17" t="s">
        <v>240</v>
      </c>
      <c r="D96" s="17" t="s">
        <v>245</v>
      </c>
      <c r="E96" s="17" t="s">
        <v>10</v>
      </c>
      <c r="F96" s="17" t="s">
        <v>856</v>
      </c>
      <c r="G96" s="17" t="s">
        <v>24</v>
      </c>
      <c r="H96" s="17" t="s">
        <v>12</v>
      </c>
      <c r="I96" s="17" t="s">
        <v>246</v>
      </c>
      <c r="J96" s="17" t="s">
        <v>743</v>
      </c>
      <c r="K96" s="18">
        <v>1</v>
      </c>
      <c r="L96" s="17" t="s">
        <v>645</v>
      </c>
      <c r="M96" s="17">
        <v>2020</v>
      </c>
      <c r="N96" s="32">
        <v>75000000</v>
      </c>
      <c r="Q96" s="20">
        <v>95</v>
      </c>
    </row>
    <row r="97" spans="1:17" ht="30" x14ac:dyDescent="0.25">
      <c r="A97" s="29">
        <v>96</v>
      </c>
      <c r="B97" s="15" t="s">
        <v>7</v>
      </c>
      <c r="C97" s="15" t="s">
        <v>18</v>
      </c>
      <c r="D97" s="15" t="s">
        <v>247</v>
      </c>
      <c r="E97" s="15" t="s">
        <v>10</v>
      </c>
      <c r="F97" s="15" t="s">
        <v>857</v>
      </c>
      <c r="G97" s="15" t="s">
        <v>36</v>
      </c>
      <c r="H97" s="15" t="s">
        <v>77</v>
      </c>
      <c r="I97" s="15" t="s">
        <v>248</v>
      </c>
      <c r="J97" s="15" t="s">
        <v>744</v>
      </c>
      <c r="K97" s="16">
        <v>1</v>
      </c>
      <c r="L97" s="15" t="s">
        <v>636</v>
      </c>
      <c r="M97" s="15">
        <v>2020</v>
      </c>
      <c r="N97" s="30">
        <v>61000000</v>
      </c>
      <c r="Q97" s="20">
        <v>96</v>
      </c>
    </row>
    <row r="98" spans="1:17" ht="45" x14ac:dyDescent="0.25">
      <c r="A98" s="31">
        <v>97</v>
      </c>
      <c r="B98" s="17" t="s">
        <v>7</v>
      </c>
      <c r="C98" s="17" t="s">
        <v>14</v>
      </c>
      <c r="D98" s="17" t="s">
        <v>249</v>
      </c>
      <c r="E98" s="17" t="s">
        <v>10</v>
      </c>
      <c r="F98" s="17" t="s">
        <v>858</v>
      </c>
      <c r="G98" s="17" t="s">
        <v>11</v>
      </c>
      <c r="H98" s="17" t="s">
        <v>20</v>
      </c>
      <c r="I98" s="17" t="s">
        <v>250</v>
      </c>
      <c r="J98" s="17" t="s">
        <v>745</v>
      </c>
      <c r="K98" s="18">
        <v>1</v>
      </c>
      <c r="L98" s="17" t="s">
        <v>645</v>
      </c>
      <c r="M98" s="17">
        <v>2020</v>
      </c>
      <c r="N98" s="32">
        <v>73000000</v>
      </c>
      <c r="Q98" s="20">
        <v>97</v>
      </c>
    </row>
    <row r="99" spans="1:17" ht="30" x14ac:dyDescent="0.25">
      <c r="A99" s="29">
        <v>98</v>
      </c>
      <c r="B99" s="15" t="s">
        <v>7</v>
      </c>
      <c r="C99" s="15" t="s">
        <v>71</v>
      </c>
      <c r="D99" s="15" t="s">
        <v>134</v>
      </c>
      <c r="E99" s="15" t="s">
        <v>173</v>
      </c>
      <c r="F99" s="15" t="s">
        <v>859</v>
      </c>
      <c r="G99" s="15" t="s">
        <v>147</v>
      </c>
      <c r="H99" s="15" t="s">
        <v>115</v>
      </c>
      <c r="I99" s="15" t="s">
        <v>251</v>
      </c>
      <c r="J99" s="15" t="s">
        <v>746</v>
      </c>
      <c r="K99" s="16">
        <v>1</v>
      </c>
      <c r="L99" s="15" t="s">
        <v>645</v>
      </c>
      <c r="M99" s="15">
        <v>2019</v>
      </c>
      <c r="N99" s="30">
        <v>62000000</v>
      </c>
      <c r="Q99" s="20">
        <v>98</v>
      </c>
    </row>
    <row r="100" spans="1:17" ht="45" x14ac:dyDescent="0.25">
      <c r="A100" s="31">
        <v>99</v>
      </c>
      <c r="B100" s="17" t="s">
        <v>7</v>
      </c>
      <c r="C100" s="17" t="s">
        <v>71</v>
      </c>
      <c r="D100" s="17" t="s">
        <v>252</v>
      </c>
      <c r="E100" s="17" t="s">
        <v>10</v>
      </c>
      <c r="F100" s="17" t="s">
        <v>860</v>
      </c>
      <c r="G100" s="17" t="s">
        <v>28</v>
      </c>
      <c r="H100" s="17" t="s">
        <v>20</v>
      </c>
      <c r="I100" s="17" t="s">
        <v>253</v>
      </c>
      <c r="J100" s="17" t="s">
        <v>747</v>
      </c>
      <c r="K100" s="18">
        <v>1</v>
      </c>
      <c r="L100" s="17" t="s">
        <v>645</v>
      </c>
      <c r="M100" s="17">
        <v>2020</v>
      </c>
      <c r="N100" s="32">
        <v>52000000</v>
      </c>
      <c r="Q100" s="20">
        <v>99</v>
      </c>
    </row>
    <row r="101" spans="1:17" ht="45" x14ac:dyDescent="0.25">
      <c r="A101" s="29">
        <v>100</v>
      </c>
      <c r="B101" s="15" t="s">
        <v>7</v>
      </c>
      <c r="C101" s="15" t="s">
        <v>8</v>
      </c>
      <c r="D101" s="15" t="s">
        <v>96</v>
      </c>
      <c r="E101" s="15" t="s">
        <v>62</v>
      </c>
      <c r="F101" s="15" t="s">
        <v>861</v>
      </c>
      <c r="G101" s="15" t="s">
        <v>63</v>
      </c>
      <c r="H101" s="15" t="s">
        <v>75</v>
      </c>
      <c r="I101" s="15" t="s">
        <v>254</v>
      </c>
      <c r="J101" s="15" t="s">
        <v>748</v>
      </c>
      <c r="K101" s="16">
        <v>3</v>
      </c>
      <c r="L101" s="15" t="s">
        <v>636</v>
      </c>
      <c r="M101" s="15">
        <v>2019</v>
      </c>
      <c r="N101" s="30">
        <v>65000000</v>
      </c>
      <c r="Q101" s="20">
        <v>100</v>
      </c>
    </row>
    <row r="102" spans="1:17" ht="30" x14ac:dyDescent="0.25">
      <c r="A102" s="31">
        <v>101</v>
      </c>
      <c r="B102" s="17" t="s">
        <v>255</v>
      </c>
      <c r="C102" s="17" t="s">
        <v>71</v>
      </c>
      <c r="D102" s="17" t="s">
        <v>190</v>
      </c>
      <c r="E102" s="17" t="s">
        <v>256</v>
      </c>
      <c r="F102" s="17" t="s">
        <v>257</v>
      </c>
      <c r="G102" s="17" t="s">
        <v>63</v>
      </c>
      <c r="H102" s="17" t="s">
        <v>130</v>
      </c>
      <c r="I102" s="17" t="s">
        <v>191</v>
      </c>
      <c r="J102" s="17" t="s">
        <v>258</v>
      </c>
      <c r="K102" s="18" t="s">
        <v>259</v>
      </c>
      <c r="L102" s="17" t="s">
        <v>259</v>
      </c>
      <c r="M102" s="17">
        <v>2020</v>
      </c>
      <c r="N102" s="32">
        <v>60000000</v>
      </c>
      <c r="Q102" s="20">
        <v>101</v>
      </c>
    </row>
    <row r="103" spans="1:17" ht="30" x14ac:dyDescent="0.25">
      <c r="A103" s="29">
        <v>102</v>
      </c>
      <c r="B103" s="15" t="s">
        <v>255</v>
      </c>
      <c r="C103" s="15" t="s">
        <v>86</v>
      </c>
      <c r="D103" s="15" t="s">
        <v>260</v>
      </c>
      <c r="E103" s="15" t="s">
        <v>261</v>
      </c>
      <c r="F103" s="15" t="s">
        <v>262</v>
      </c>
      <c r="G103" s="15" t="s">
        <v>48</v>
      </c>
      <c r="H103" s="15" t="s">
        <v>20</v>
      </c>
      <c r="I103" s="15" t="s">
        <v>263</v>
      </c>
      <c r="J103" s="15" t="s">
        <v>264</v>
      </c>
      <c r="K103" s="16" t="s">
        <v>259</v>
      </c>
      <c r="L103" s="15" t="s">
        <v>259</v>
      </c>
      <c r="M103" s="15">
        <v>2017</v>
      </c>
      <c r="N103" s="30">
        <v>63000000</v>
      </c>
      <c r="Q103" s="20">
        <v>102</v>
      </c>
    </row>
    <row r="104" spans="1:17" ht="45" x14ac:dyDescent="0.25">
      <c r="A104" s="31">
        <v>103</v>
      </c>
      <c r="B104" s="17" t="s">
        <v>255</v>
      </c>
      <c r="C104" s="17" t="s">
        <v>8</v>
      </c>
      <c r="D104" s="17" t="s">
        <v>265</v>
      </c>
      <c r="E104" s="17" t="s">
        <v>266</v>
      </c>
      <c r="F104" s="17" t="s">
        <v>267</v>
      </c>
      <c r="G104" s="17" t="s">
        <v>12</v>
      </c>
      <c r="H104" s="17" t="s">
        <v>24</v>
      </c>
      <c r="I104" s="17" t="s">
        <v>268</v>
      </c>
      <c r="J104" s="17" t="s">
        <v>269</v>
      </c>
      <c r="K104" s="18" t="s">
        <v>259</v>
      </c>
      <c r="L104" s="17" t="s">
        <v>259</v>
      </c>
      <c r="M104" s="17">
        <v>2018</v>
      </c>
      <c r="N104" s="32">
        <v>55000000</v>
      </c>
      <c r="Q104" s="20">
        <v>103</v>
      </c>
    </row>
    <row r="105" spans="1:17" ht="45" x14ac:dyDescent="0.25">
      <c r="A105" s="29">
        <v>104</v>
      </c>
      <c r="B105" s="15" t="s">
        <v>255</v>
      </c>
      <c r="C105" s="15" t="s">
        <v>240</v>
      </c>
      <c r="D105" s="15" t="s">
        <v>270</v>
      </c>
      <c r="E105" s="15" t="s">
        <v>266</v>
      </c>
      <c r="F105" s="15" t="s">
        <v>271</v>
      </c>
      <c r="G105" s="15" t="s">
        <v>29</v>
      </c>
      <c r="H105" s="15" t="s">
        <v>16</v>
      </c>
      <c r="I105" s="15" t="s">
        <v>272</v>
      </c>
      <c r="J105" s="15" t="s">
        <v>273</v>
      </c>
      <c r="K105" s="16" t="s">
        <v>259</v>
      </c>
      <c r="L105" s="15" t="s">
        <v>259</v>
      </c>
      <c r="M105" s="15">
        <v>2019</v>
      </c>
      <c r="N105" s="30">
        <v>68000000</v>
      </c>
      <c r="Q105" s="20">
        <v>104</v>
      </c>
    </row>
    <row r="106" spans="1:17" ht="45" x14ac:dyDescent="0.25">
      <c r="A106" s="31">
        <v>105</v>
      </c>
      <c r="B106" s="17" t="s">
        <v>255</v>
      </c>
      <c r="C106" s="17" t="s">
        <v>108</v>
      </c>
      <c r="D106" s="17" t="s">
        <v>274</v>
      </c>
      <c r="E106" s="17" t="s">
        <v>275</v>
      </c>
      <c r="F106" s="17" t="s">
        <v>276</v>
      </c>
      <c r="G106" s="17" t="s">
        <v>52</v>
      </c>
      <c r="H106" s="17" t="s">
        <v>33</v>
      </c>
      <c r="I106" s="17" t="s">
        <v>277</v>
      </c>
      <c r="J106" s="17" t="s">
        <v>278</v>
      </c>
      <c r="K106" s="18" t="s">
        <v>259</v>
      </c>
      <c r="L106" s="17" t="s">
        <v>259</v>
      </c>
      <c r="M106" s="17">
        <v>2017</v>
      </c>
      <c r="N106" s="32">
        <v>54000000</v>
      </c>
      <c r="Q106" s="20">
        <v>105</v>
      </c>
    </row>
    <row r="107" spans="1:17" ht="30" x14ac:dyDescent="0.25">
      <c r="A107" s="29">
        <v>106</v>
      </c>
      <c r="B107" s="15" t="s">
        <v>255</v>
      </c>
      <c r="C107" s="15" t="s">
        <v>8</v>
      </c>
      <c r="D107" s="15" t="s">
        <v>279</v>
      </c>
      <c r="E107" s="15" t="s">
        <v>256</v>
      </c>
      <c r="F107" s="15" t="s">
        <v>280</v>
      </c>
      <c r="G107" s="15" t="s">
        <v>33</v>
      </c>
      <c r="H107" s="15" t="s">
        <v>130</v>
      </c>
      <c r="I107" s="15" t="s">
        <v>281</v>
      </c>
      <c r="J107" s="15" t="s">
        <v>282</v>
      </c>
      <c r="K107" s="16" t="s">
        <v>259</v>
      </c>
      <c r="L107" s="15" t="s">
        <v>259</v>
      </c>
      <c r="M107" s="15">
        <v>2018</v>
      </c>
      <c r="N107" s="30">
        <v>53000000</v>
      </c>
      <c r="Q107" s="20">
        <v>106</v>
      </c>
    </row>
    <row r="108" spans="1:17" ht="30" x14ac:dyDescent="0.25">
      <c r="A108" s="31">
        <v>107</v>
      </c>
      <c r="B108" s="17" t="s">
        <v>255</v>
      </c>
      <c r="C108" s="17" t="s">
        <v>103</v>
      </c>
      <c r="D108" s="17" t="s">
        <v>283</v>
      </c>
      <c r="E108" s="17" t="s">
        <v>284</v>
      </c>
      <c r="F108" s="17" t="s">
        <v>285</v>
      </c>
      <c r="G108" s="17" t="s">
        <v>33</v>
      </c>
      <c r="H108" s="17" t="s">
        <v>12</v>
      </c>
      <c r="I108" s="17" t="s">
        <v>286</v>
      </c>
      <c r="J108" s="17" t="s">
        <v>287</v>
      </c>
      <c r="K108" s="18" t="s">
        <v>259</v>
      </c>
      <c r="L108" s="17" t="s">
        <v>259</v>
      </c>
      <c r="M108" s="17">
        <v>2018</v>
      </c>
      <c r="N108" s="32">
        <v>60000000</v>
      </c>
      <c r="Q108" s="20">
        <v>107</v>
      </c>
    </row>
    <row r="109" spans="1:17" ht="45" x14ac:dyDescent="0.25">
      <c r="A109" s="29">
        <v>108</v>
      </c>
      <c r="B109" s="15" t="s">
        <v>255</v>
      </c>
      <c r="C109" s="15" t="s">
        <v>60</v>
      </c>
      <c r="D109" s="15" t="s">
        <v>179</v>
      </c>
      <c r="E109" s="15" t="s">
        <v>275</v>
      </c>
      <c r="F109" s="15" t="s">
        <v>288</v>
      </c>
      <c r="G109" s="15" t="s">
        <v>147</v>
      </c>
      <c r="H109" s="15" t="s">
        <v>130</v>
      </c>
      <c r="I109" s="15" t="s">
        <v>289</v>
      </c>
      <c r="J109" s="15" t="s">
        <v>290</v>
      </c>
      <c r="K109" s="16" t="s">
        <v>259</v>
      </c>
      <c r="L109" s="15" t="s">
        <v>259</v>
      </c>
      <c r="M109" s="15">
        <v>2020</v>
      </c>
      <c r="N109" s="30">
        <v>57000000</v>
      </c>
      <c r="Q109" s="20">
        <v>108</v>
      </c>
    </row>
    <row r="110" spans="1:17" ht="45" x14ac:dyDescent="0.25">
      <c r="A110" s="31">
        <v>109</v>
      </c>
      <c r="B110" s="17" t="s">
        <v>255</v>
      </c>
      <c r="C110" s="17" t="s">
        <v>31</v>
      </c>
      <c r="D110" s="17" t="s">
        <v>291</v>
      </c>
      <c r="E110" s="17" t="s">
        <v>266</v>
      </c>
      <c r="F110" s="17" t="s">
        <v>292</v>
      </c>
      <c r="G110" s="17" t="s">
        <v>75</v>
      </c>
      <c r="H110" s="17" t="s">
        <v>215</v>
      </c>
      <c r="I110" s="17" t="s">
        <v>293</v>
      </c>
      <c r="J110" s="17" t="s">
        <v>294</v>
      </c>
      <c r="K110" s="18" t="s">
        <v>259</v>
      </c>
      <c r="L110" s="17" t="s">
        <v>259</v>
      </c>
      <c r="M110" s="17">
        <v>2017</v>
      </c>
      <c r="N110" s="32">
        <v>52000000</v>
      </c>
      <c r="Q110" s="20">
        <v>109</v>
      </c>
    </row>
    <row r="111" spans="1:17" ht="30" x14ac:dyDescent="0.25">
      <c r="A111" s="29">
        <v>110</v>
      </c>
      <c r="B111" s="15" t="s">
        <v>255</v>
      </c>
      <c r="C111" s="15" t="s">
        <v>43</v>
      </c>
      <c r="D111" s="15" t="s">
        <v>295</v>
      </c>
      <c r="E111" s="15" t="s">
        <v>256</v>
      </c>
      <c r="F111" s="15" t="s">
        <v>296</v>
      </c>
      <c r="G111" s="15" t="s">
        <v>11</v>
      </c>
      <c r="H111" s="15" t="s">
        <v>55</v>
      </c>
      <c r="I111" s="15" t="s">
        <v>297</v>
      </c>
      <c r="J111" s="15" t="s">
        <v>298</v>
      </c>
      <c r="K111" s="16" t="s">
        <v>259</v>
      </c>
      <c r="L111" s="15" t="s">
        <v>259</v>
      </c>
      <c r="M111" s="15">
        <v>2019</v>
      </c>
      <c r="N111" s="30">
        <v>65000000</v>
      </c>
      <c r="Q111" s="20">
        <v>110</v>
      </c>
    </row>
    <row r="112" spans="1:17" ht="45" x14ac:dyDescent="0.25">
      <c r="A112" s="31">
        <v>111</v>
      </c>
      <c r="B112" s="17" t="s">
        <v>255</v>
      </c>
      <c r="C112" s="17" t="s">
        <v>43</v>
      </c>
      <c r="D112" s="17" t="s">
        <v>295</v>
      </c>
      <c r="E112" s="17" t="s">
        <v>256</v>
      </c>
      <c r="F112" s="17" t="s">
        <v>299</v>
      </c>
      <c r="G112" s="17" t="s">
        <v>20</v>
      </c>
      <c r="H112" s="17" t="s">
        <v>75</v>
      </c>
      <c r="I112" s="17" t="s">
        <v>300</v>
      </c>
      <c r="J112" s="17" t="s">
        <v>301</v>
      </c>
      <c r="K112" s="18" t="s">
        <v>259</v>
      </c>
      <c r="L112" s="17" t="s">
        <v>259</v>
      </c>
      <c r="M112" s="17">
        <v>2020</v>
      </c>
      <c r="N112" s="32">
        <v>61000000</v>
      </c>
      <c r="Q112" s="20">
        <v>111</v>
      </c>
    </row>
    <row r="113" spans="1:17" ht="45" x14ac:dyDescent="0.25">
      <c r="A113" s="29">
        <v>112</v>
      </c>
      <c r="B113" s="15" t="s">
        <v>255</v>
      </c>
      <c r="C113" s="15" t="s">
        <v>31</v>
      </c>
      <c r="D113" s="15" t="s">
        <v>302</v>
      </c>
      <c r="E113" s="15" t="s">
        <v>275</v>
      </c>
      <c r="F113" s="15" t="s">
        <v>303</v>
      </c>
      <c r="G113" s="15" t="s">
        <v>36</v>
      </c>
      <c r="H113" s="15" t="s">
        <v>41</v>
      </c>
      <c r="I113" s="15" t="s">
        <v>304</v>
      </c>
      <c r="J113" s="15" t="s">
        <v>305</v>
      </c>
      <c r="K113" s="16" t="s">
        <v>259</v>
      </c>
      <c r="L113" s="15" t="s">
        <v>259</v>
      </c>
      <c r="M113" s="15">
        <v>2019</v>
      </c>
      <c r="N113" s="30">
        <v>59000000</v>
      </c>
      <c r="Q113" s="20">
        <v>112</v>
      </c>
    </row>
    <row r="114" spans="1:17" ht="45" x14ac:dyDescent="0.25">
      <c r="A114" s="31">
        <v>113</v>
      </c>
      <c r="B114" s="17" t="s">
        <v>255</v>
      </c>
      <c r="C114" s="17" t="s">
        <v>50</v>
      </c>
      <c r="D114" s="17" t="s">
        <v>306</v>
      </c>
      <c r="E114" s="17" t="s">
        <v>256</v>
      </c>
      <c r="F114" s="17" t="s">
        <v>307</v>
      </c>
      <c r="G114" s="17" t="s">
        <v>215</v>
      </c>
      <c r="H114" s="17" t="s">
        <v>63</v>
      </c>
      <c r="I114" s="17" t="s">
        <v>308</v>
      </c>
      <c r="J114" s="17" t="s">
        <v>309</v>
      </c>
      <c r="K114" s="18" t="s">
        <v>259</v>
      </c>
      <c r="L114" s="17" t="s">
        <v>259</v>
      </c>
      <c r="M114" s="17">
        <v>2020</v>
      </c>
      <c r="N114" s="32">
        <v>74000000</v>
      </c>
      <c r="Q114" s="20">
        <v>113</v>
      </c>
    </row>
    <row r="115" spans="1:17" ht="30" x14ac:dyDescent="0.25">
      <c r="A115" s="29">
        <v>114</v>
      </c>
      <c r="B115" s="15" t="s">
        <v>255</v>
      </c>
      <c r="C115" s="15" t="s">
        <v>103</v>
      </c>
      <c r="D115" s="15" t="s">
        <v>310</v>
      </c>
      <c r="E115" s="15" t="s">
        <v>275</v>
      </c>
      <c r="F115" s="15" t="s">
        <v>311</v>
      </c>
      <c r="G115" s="15" t="s">
        <v>67</v>
      </c>
      <c r="H115" s="15" t="s">
        <v>130</v>
      </c>
      <c r="I115" s="15" t="s">
        <v>312</v>
      </c>
      <c r="J115" s="15" t="s">
        <v>313</v>
      </c>
      <c r="K115" s="16" t="s">
        <v>259</v>
      </c>
      <c r="L115" s="15" t="s">
        <v>259</v>
      </c>
      <c r="M115" s="15">
        <v>2020</v>
      </c>
      <c r="N115" s="30">
        <v>68000000</v>
      </c>
      <c r="Q115" s="20">
        <v>114</v>
      </c>
    </row>
    <row r="116" spans="1:17" ht="45" x14ac:dyDescent="0.25">
      <c r="A116" s="31">
        <v>115</v>
      </c>
      <c r="B116" s="17" t="s">
        <v>255</v>
      </c>
      <c r="C116" s="17" t="s">
        <v>86</v>
      </c>
      <c r="D116" s="17" t="s">
        <v>314</v>
      </c>
      <c r="E116" s="17" t="s">
        <v>275</v>
      </c>
      <c r="F116" s="17" t="s">
        <v>315</v>
      </c>
      <c r="G116" s="17" t="s">
        <v>20</v>
      </c>
      <c r="H116" s="17" t="s">
        <v>33</v>
      </c>
      <c r="I116" s="17" t="s">
        <v>316</v>
      </c>
      <c r="J116" s="17" t="s">
        <v>317</v>
      </c>
      <c r="K116" s="18" t="s">
        <v>259</v>
      </c>
      <c r="L116" s="17" t="s">
        <v>259</v>
      </c>
      <c r="M116" s="17">
        <v>2017</v>
      </c>
      <c r="N116" s="32">
        <v>70000000</v>
      </c>
      <c r="Q116" s="20">
        <v>115</v>
      </c>
    </row>
    <row r="117" spans="1:17" ht="45" x14ac:dyDescent="0.25">
      <c r="A117" s="29">
        <v>116</v>
      </c>
      <c r="B117" s="15" t="s">
        <v>255</v>
      </c>
      <c r="C117" s="15" t="s">
        <v>86</v>
      </c>
      <c r="D117" s="15" t="s">
        <v>318</v>
      </c>
      <c r="E117" s="15" t="s">
        <v>319</v>
      </c>
      <c r="F117" s="15" t="s">
        <v>320</v>
      </c>
      <c r="G117" s="15" t="s">
        <v>36</v>
      </c>
      <c r="H117" s="15" t="s">
        <v>52</v>
      </c>
      <c r="I117" s="15" t="s">
        <v>321</v>
      </c>
      <c r="J117" s="15" t="s">
        <v>322</v>
      </c>
      <c r="K117" s="16" t="s">
        <v>259</v>
      </c>
      <c r="L117" s="15" t="s">
        <v>259</v>
      </c>
      <c r="M117" s="15">
        <v>2019</v>
      </c>
      <c r="N117" s="30">
        <v>52000000</v>
      </c>
      <c r="Q117" s="20">
        <v>116</v>
      </c>
    </row>
    <row r="118" spans="1:17" ht="30" x14ac:dyDescent="0.25">
      <c r="A118" s="31">
        <v>117</v>
      </c>
      <c r="B118" s="17" t="s">
        <v>255</v>
      </c>
      <c r="C118" s="17" t="s">
        <v>71</v>
      </c>
      <c r="D118" s="17" t="s">
        <v>252</v>
      </c>
      <c r="E118" s="17" t="s">
        <v>256</v>
      </c>
      <c r="F118" s="17" t="s">
        <v>323</v>
      </c>
      <c r="G118" s="17" t="s">
        <v>106</v>
      </c>
      <c r="H118" s="17" t="s">
        <v>115</v>
      </c>
      <c r="I118" s="17" t="s">
        <v>324</v>
      </c>
      <c r="J118" s="17" t="s">
        <v>325</v>
      </c>
      <c r="K118" s="18" t="s">
        <v>259</v>
      </c>
      <c r="L118" s="17" t="s">
        <v>259</v>
      </c>
      <c r="M118" s="17">
        <v>2018</v>
      </c>
      <c r="N118" s="32">
        <v>74000000</v>
      </c>
      <c r="Q118" s="20">
        <v>117</v>
      </c>
    </row>
    <row r="119" spans="1:17" ht="45" x14ac:dyDescent="0.25">
      <c r="A119" s="29">
        <v>118</v>
      </c>
      <c r="B119" s="15" t="s">
        <v>255</v>
      </c>
      <c r="C119" s="15" t="s">
        <v>60</v>
      </c>
      <c r="D119" s="15" t="s">
        <v>326</v>
      </c>
      <c r="E119" s="15" t="s">
        <v>327</v>
      </c>
      <c r="F119" s="15" t="s">
        <v>328</v>
      </c>
      <c r="G119" s="15" t="s">
        <v>106</v>
      </c>
      <c r="H119" s="15" t="s">
        <v>48</v>
      </c>
      <c r="I119" s="15" t="s">
        <v>329</v>
      </c>
      <c r="J119" s="15" t="s">
        <v>330</v>
      </c>
      <c r="K119" s="16" t="s">
        <v>259</v>
      </c>
      <c r="L119" s="15" t="s">
        <v>259</v>
      </c>
      <c r="M119" s="15">
        <v>2017</v>
      </c>
      <c r="N119" s="30">
        <v>62000000</v>
      </c>
      <c r="Q119" s="20">
        <v>118</v>
      </c>
    </row>
    <row r="120" spans="1:17" ht="30" x14ac:dyDescent="0.25">
      <c r="A120" s="31">
        <v>119</v>
      </c>
      <c r="B120" s="17" t="s">
        <v>255</v>
      </c>
      <c r="C120" s="17" t="s">
        <v>57</v>
      </c>
      <c r="D120" s="17" t="s">
        <v>331</v>
      </c>
      <c r="E120" s="17" t="s">
        <v>275</v>
      </c>
      <c r="F120" s="17" t="s">
        <v>332</v>
      </c>
      <c r="G120" s="17" t="s">
        <v>41</v>
      </c>
      <c r="H120" s="17" t="s">
        <v>215</v>
      </c>
      <c r="I120" s="17" t="s">
        <v>333</v>
      </c>
      <c r="J120" s="17" t="s">
        <v>334</v>
      </c>
      <c r="K120" s="18" t="s">
        <v>259</v>
      </c>
      <c r="L120" s="17" t="s">
        <v>259</v>
      </c>
      <c r="M120" s="17">
        <v>2020</v>
      </c>
      <c r="N120" s="32">
        <v>59000000</v>
      </c>
      <c r="Q120" s="20">
        <v>119</v>
      </c>
    </row>
    <row r="121" spans="1:17" ht="30" x14ac:dyDescent="0.25">
      <c r="A121" s="29">
        <v>120</v>
      </c>
      <c r="B121" s="15" t="s">
        <v>255</v>
      </c>
      <c r="C121" s="15" t="s">
        <v>71</v>
      </c>
      <c r="D121" s="15" t="s">
        <v>335</v>
      </c>
      <c r="E121" s="15" t="s">
        <v>256</v>
      </c>
      <c r="F121" s="15" t="s">
        <v>336</v>
      </c>
      <c r="G121" s="15" t="s">
        <v>67</v>
      </c>
      <c r="H121" s="15" t="s">
        <v>28</v>
      </c>
      <c r="I121" s="15" t="s">
        <v>337</v>
      </c>
      <c r="J121" s="15" t="s">
        <v>338</v>
      </c>
      <c r="K121" s="16" t="s">
        <v>259</v>
      </c>
      <c r="L121" s="15" t="s">
        <v>259</v>
      </c>
      <c r="M121" s="15">
        <v>2019</v>
      </c>
      <c r="N121" s="30">
        <v>53000000</v>
      </c>
      <c r="Q121" s="20">
        <v>120</v>
      </c>
    </row>
    <row r="122" spans="1:17" ht="30" x14ac:dyDescent="0.25">
      <c r="A122" s="31">
        <v>121</v>
      </c>
      <c r="B122" s="17" t="s">
        <v>255</v>
      </c>
      <c r="C122" s="17" t="s">
        <v>71</v>
      </c>
      <c r="D122" s="17" t="s">
        <v>339</v>
      </c>
      <c r="E122" s="17" t="s">
        <v>256</v>
      </c>
      <c r="F122" s="17" t="s">
        <v>340</v>
      </c>
      <c r="G122" s="17" t="s">
        <v>28</v>
      </c>
      <c r="H122" s="17" t="s">
        <v>77</v>
      </c>
      <c r="I122" s="17" t="s">
        <v>341</v>
      </c>
      <c r="J122" s="17" t="s">
        <v>342</v>
      </c>
      <c r="K122" s="18" t="s">
        <v>259</v>
      </c>
      <c r="L122" s="17" t="s">
        <v>259</v>
      </c>
      <c r="M122" s="17">
        <v>2017</v>
      </c>
      <c r="N122" s="32">
        <v>68000000</v>
      </c>
      <c r="Q122" s="20">
        <v>121</v>
      </c>
    </row>
    <row r="123" spans="1:17" ht="45" x14ac:dyDescent="0.25">
      <c r="A123" s="29">
        <v>122</v>
      </c>
      <c r="B123" s="15" t="s">
        <v>255</v>
      </c>
      <c r="C123" s="15" t="s">
        <v>14</v>
      </c>
      <c r="D123" s="15" t="s">
        <v>343</v>
      </c>
      <c r="E123" s="15" t="s">
        <v>344</v>
      </c>
      <c r="F123" s="15" t="s">
        <v>345</v>
      </c>
      <c r="G123" s="15" t="s">
        <v>82</v>
      </c>
      <c r="H123" s="15" t="s">
        <v>37</v>
      </c>
      <c r="I123" s="15" t="s">
        <v>346</v>
      </c>
      <c r="J123" s="15" t="s">
        <v>347</v>
      </c>
      <c r="K123" s="16" t="s">
        <v>259</v>
      </c>
      <c r="L123" s="15" t="s">
        <v>259</v>
      </c>
      <c r="M123" s="15">
        <v>2017</v>
      </c>
      <c r="N123" s="30">
        <v>54000000</v>
      </c>
      <c r="Q123" s="20">
        <v>122</v>
      </c>
    </row>
    <row r="124" spans="1:17" ht="30" x14ac:dyDescent="0.25">
      <c r="A124" s="31">
        <v>123</v>
      </c>
      <c r="B124" s="17" t="s">
        <v>255</v>
      </c>
      <c r="C124" s="17" t="s">
        <v>8</v>
      </c>
      <c r="D124" s="17" t="s">
        <v>348</v>
      </c>
      <c r="E124" s="17" t="s">
        <v>256</v>
      </c>
      <c r="F124" s="17" t="s">
        <v>349</v>
      </c>
      <c r="G124" s="17" t="s">
        <v>41</v>
      </c>
      <c r="H124" s="17" t="s">
        <v>12</v>
      </c>
      <c r="I124" s="17" t="s">
        <v>350</v>
      </c>
      <c r="J124" s="17" t="s">
        <v>351</v>
      </c>
      <c r="K124" s="18" t="s">
        <v>259</v>
      </c>
      <c r="L124" s="17" t="s">
        <v>259</v>
      </c>
      <c r="M124" s="17">
        <v>2018</v>
      </c>
      <c r="N124" s="32">
        <v>70000000</v>
      </c>
      <c r="Q124" s="20">
        <v>123</v>
      </c>
    </row>
    <row r="125" spans="1:17" ht="45" x14ac:dyDescent="0.25">
      <c r="A125" s="29">
        <v>124</v>
      </c>
      <c r="B125" s="15" t="s">
        <v>255</v>
      </c>
      <c r="C125" s="15" t="s">
        <v>57</v>
      </c>
      <c r="D125" s="15" t="s">
        <v>352</v>
      </c>
      <c r="E125" s="15" t="s">
        <v>319</v>
      </c>
      <c r="F125" s="15" t="s">
        <v>353</v>
      </c>
      <c r="G125" s="15" t="s">
        <v>23</v>
      </c>
      <c r="H125" s="15" t="s">
        <v>24</v>
      </c>
      <c r="I125" s="15" t="s">
        <v>354</v>
      </c>
      <c r="J125" s="15" t="s">
        <v>355</v>
      </c>
      <c r="K125" s="16" t="s">
        <v>259</v>
      </c>
      <c r="L125" s="15" t="s">
        <v>259</v>
      </c>
      <c r="M125" s="15">
        <v>2020</v>
      </c>
      <c r="N125" s="30">
        <v>59000000</v>
      </c>
      <c r="Q125" s="20">
        <v>124</v>
      </c>
    </row>
    <row r="126" spans="1:17" x14ac:dyDescent="0.25">
      <c r="A126" s="31">
        <v>125</v>
      </c>
      <c r="B126" s="17" t="s">
        <v>255</v>
      </c>
      <c r="C126" s="17" t="s">
        <v>14</v>
      </c>
      <c r="D126" s="17" t="s">
        <v>356</v>
      </c>
      <c r="E126" s="17" t="s">
        <v>275</v>
      </c>
      <c r="F126" s="17" t="s">
        <v>357</v>
      </c>
      <c r="G126" s="17" t="s">
        <v>36</v>
      </c>
      <c r="H126" s="17" t="s">
        <v>12</v>
      </c>
      <c r="I126" s="17" t="s">
        <v>358</v>
      </c>
      <c r="J126" s="17" t="s">
        <v>359</v>
      </c>
      <c r="K126" s="18" t="s">
        <v>259</v>
      </c>
      <c r="L126" s="17" t="s">
        <v>259</v>
      </c>
      <c r="M126" s="17">
        <v>2018</v>
      </c>
      <c r="N126" s="32">
        <v>55000000</v>
      </c>
      <c r="Q126" s="20">
        <v>125</v>
      </c>
    </row>
    <row r="127" spans="1:17" ht="45" x14ac:dyDescent="0.25">
      <c r="A127" s="29">
        <v>126</v>
      </c>
      <c r="B127" s="15" t="s">
        <v>255</v>
      </c>
      <c r="C127" s="15" t="s">
        <v>31</v>
      </c>
      <c r="D127" s="15" t="s">
        <v>360</v>
      </c>
      <c r="E127" s="15" t="s">
        <v>327</v>
      </c>
      <c r="F127" s="15" t="s">
        <v>361</v>
      </c>
      <c r="G127" s="15" t="s">
        <v>16</v>
      </c>
      <c r="H127" s="15" t="s">
        <v>29</v>
      </c>
      <c r="I127" s="15" t="s">
        <v>362</v>
      </c>
      <c r="J127" s="15" t="s">
        <v>363</v>
      </c>
      <c r="K127" s="16" t="s">
        <v>259</v>
      </c>
      <c r="L127" s="15" t="s">
        <v>259</v>
      </c>
      <c r="M127" s="15">
        <v>2018</v>
      </c>
      <c r="N127" s="30">
        <v>62000000</v>
      </c>
      <c r="Q127" s="20">
        <v>126</v>
      </c>
    </row>
    <row r="128" spans="1:17" ht="45" x14ac:dyDescent="0.25">
      <c r="A128" s="31">
        <v>127</v>
      </c>
      <c r="B128" s="17" t="s">
        <v>255</v>
      </c>
      <c r="C128" s="17" t="s">
        <v>65</v>
      </c>
      <c r="D128" s="17" t="s">
        <v>364</v>
      </c>
      <c r="E128" s="17" t="s">
        <v>275</v>
      </c>
      <c r="F128" s="17" t="s">
        <v>365</v>
      </c>
      <c r="G128" s="17" t="s">
        <v>67</v>
      </c>
      <c r="H128" s="17" t="s">
        <v>106</v>
      </c>
      <c r="I128" s="17" t="s">
        <v>366</v>
      </c>
      <c r="J128" s="17" t="s">
        <v>367</v>
      </c>
      <c r="K128" s="18" t="s">
        <v>259</v>
      </c>
      <c r="L128" s="17" t="s">
        <v>259</v>
      </c>
      <c r="M128" s="17">
        <v>2018</v>
      </c>
      <c r="N128" s="32">
        <v>70000000</v>
      </c>
      <c r="Q128" s="20">
        <v>127</v>
      </c>
    </row>
    <row r="129" spans="1:17" ht="30" x14ac:dyDescent="0.25">
      <c r="A129" s="29">
        <v>128</v>
      </c>
      <c r="B129" s="15" t="s">
        <v>255</v>
      </c>
      <c r="C129" s="15" t="s">
        <v>8</v>
      </c>
      <c r="D129" s="15" t="s">
        <v>368</v>
      </c>
      <c r="E129" s="15" t="s">
        <v>266</v>
      </c>
      <c r="F129" s="15" t="s">
        <v>369</v>
      </c>
      <c r="G129" s="15" t="s">
        <v>147</v>
      </c>
      <c r="H129" s="15" t="s">
        <v>147</v>
      </c>
      <c r="I129" s="15" t="s">
        <v>370</v>
      </c>
      <c r="J129" s="15" t="s">
        <v>371</v>
      </c>
      <c r="K129" s="16" t="s">
        <v>259</v>
      </c>
      <c r="L129" s="15" t="s">
        <v>259</v>
      </c>
      <c r="M129" s="15">
        <v>2019</v>
      </c>
      <c r="N129" s="30">
        <v>55000000</v>
      </c>
      <c r="Q129" s="20">
        <v>128</v>
      </c>
    </row>
    <row r="130" spans="1:17" ht="30" x14ac:dyDescent="0.25">
      <c r="A130" s="31">
        <v>129</v>
      </c>
      <c r="B130" s="17" t="s">
        <v>255</v>
      </c>
      <c r="C130" s="17" t="s">
        <v>103</v>
      </c>
      <c r="D130" s="17" t="s">
        <v>310</v>
      </c>
      <c r="E130" s="17" t="s">
        <v>275</v>
      </c>
      <c r="F130" s="17" t="s">
        <v>372</v>
      </c>
      <c r="G130" s="17" t="s">
        <v>28</v>
      </c>
      <c r="H130" s="17" t="s">
        <v>29</v>
      </c>
      <c r="I130" s="17" t="s">
        <v>373</v>
      </c>
      <c r="J130" s="17" t="s">
        <v>374</v>
      </c>
      <c r="K130" s="18" t="s">
        <v>259</v>
      </c>
      <c r="L130" s="17" t="s">
        <v>259</v>
      </c>
      <c r="M130" s="17">
        <v>2018</v>
      </c>
      <c r="N130" s="32">
        <v>67000000</v>
      </c>
      <c r="Q130" s="20">
        <v>129</v>
      </c>
    </row>
    <row r="131" spans="1:17" ht="30" x14ac:dyDescent="0.25">
      <c r="A131" s="29">
        <v>130</v>
      </c>
      <c r="B131" s="15" t="s">
        <v>255</v>
      </c>
      <c r="C131" s="15" t="s">
        <v>57</v>
      </c>
      <c r="D131" s="15" t="s">
        <v>331</v>
      </c>
      <c r="E131" s="15" t="s">
        <v>275</v>
      </c>
      <c r="F131" s="15" t="s">
        <v>375</v>
      </c>
      <c r="G131" s="15" t="s">
        <v>37</v>
      </c>
      <c r="H131" s="15" t="s">
        <v>55</v>
      </c>
      <c r="I131" s="15" t="s">
        <v>376</v>
      </c>
      <c r="J131" s="15" t="s">
        <v>377</v>
      </c>
      <c r="K131" s="16" t="s">
        <v>259</v>
      </c>
      <c r="L131" s="15" t="s">
        <v>259</v>
      </c>
      <c r="M131" s="15">
        <v>2020</v>
      </c>
      <c r="N131" s="30">
        <v>60000000</v>
      </c>
      <c r="Q131" s="20">
        <v>130</v>
      </c>
    </row>
    <row r="132" spans="1:17" ht="30" x14ac:dyDescent="0.25">
      <c r="A132" s="31">
        <v>131</v>
      </c>
      <c r="B132" s="17" t="s">
        <v>255</v>
      </c>
      <c r="C132" s="17" t="s">
        <v>43</v>
      </c>
      <c r="D132" s="17" t="s">
        <v>378</v>
      </c>
      <c r="E132" s="17" t="s">
        <v>275</v>
      </c>
      <c r="F132" s="17" t="s">
        <v>379</v>
      </c>
      <c r="G132" s="17" t="s">
        <v>20</v>
      </c>
      <c r="H132" s="17" t="s">
        <v>16</v>
      </c>
      <c r="I132" s="17" t="s">
        <v>380</v>
      </c>
      <c r="J132" s="17" t="s">
        <v>381</v>
      </c>
      <c r="K132" s="18" t="s">
        <v>259</v>
      </c>
      <c r="L132" s="17" t="s">
        <v>259</v>
      </c>
      <c r="M132" s="17">
        <v>2020</v>
      </c>
      <c r="N132" s="32">
        <v>69000000</v>
      </c>
      <c r="Q132" s="20">
        <v>131</v>
      </c>
    </row>
    <row r="133" spans="1:17" ht="30" x14ac:dyDescent="0.25">
      <c r="A133" s="29">
        <v>132</v>
      </c>
      <c r="B133" s="15" t="s">
        <v>255</v>
      </c>
      <c r="C133" s="15" t="s">
        <v>103</v>
      </c>
      <c r="D133" s="15" t="s">
        <v>382</v>
      </c>
      <c r="E133" s="15" t="s">
        <v>256</v>
      </c>
      <c r="F133" s="15" t="s">
        <v>383</v>
      </c>
      <c r="G133" s="15" t="s">
        <v>110</v>
      </c>
      <c r="H133" s="15" t="s">
        <v>20</v>
      </c>
      <c r="I133" s="15" t="s">
        <v>384</v>
      </c>
      <c r="J133" s="15" t="s">
        <v>385</v>
      </c>
      <c r="K133" s="16" t="s">
        <v>259</v>
      </c>
      <c r="L133" s="15" t="s">
        <v>259</v>
      </c>
      <c r="M133" s="15">
        <v>2018</v>
      </c>
      <c r="N133" s="30">
        <v>68000000</v>
      </c>
      <c r="Q133" s="20">
        <v>132</v>
      </c>
    </row>
    <row r="134" spans="1:17" ht="45" x14ac:dyDescent="0.25">
      <c r="A134" s="31">
        <v>133</v>
      </c>
      <c r="B134" s="17" t="s">
        <v>255</v>
      </c>
      <c r="C134" s="17" t="s">
        <v>108</v>
      </c>
      <c r="D134" s="17" t="s">
        <v>386</v>
      </c>
      <c r="E134" s="17" t="s">
        <v>256</v>
      </c>
      <c r="F134" s="17" t="s">
        <v>387</v>
      </c>
      <c r="G134" s="17" t="s">
        <v>67</v>
      </c>
      <c r="H134" s="17" t="s">
        <v>115</v>
      </c>
      <c r="I134" s="17" t="s">
        <v>388</v>
      </c>
      <c r="J134" s="17" t="s">
        <v>389</v>
      </c>
      <c r="K134" s="18" t="s">
        <v>259</v>
      </c>
      <c r="L134" s="17" t="s">
        <v>259</v>
      </c>
      <c r="M134" s="17">
        <v>2018</v>
      </c>
      <c r="N134" s="32">
        <v>66000000</v>
      </c>
      <c r="Q134" s="20">
        <v>133</v>
      </c>
    </row>
    <row r="135" spans="1:17" ht="45" x14ac:dyDescent="0.25">
      <c r="A135" s="29">
        <v>134</v>
      </c>
      <c r="B135" s="15" t="s">
        <v>255</v>
      </c>
      <c r="C135" s="15" t="s">
        <v>71</v>
      </c>
      <c r="D135" s="15" t="s">
        <v>390</v>
      </c>
      <c r="E135" s="15" t="s">
        <v>256</v>
      </c>
      <c r="F135" s="15" t="s">
        <v>391</v>
      </c>
      <c r="G135" s="15" t="s">
        <v>28</v>
      </c>
      <c r="H135" s="15" t="s">
        <v>20</v>
      </c>
      <c r="I135" s="15" t="s">
        <v>392</v>
      </c>
      <c r="J135" s="15" t="s">
        <v>393</v>
      </c>
      <c r="K135" s="16" t="s">
        <v>259</v>
      </c>
      <c r="L135" s="15" t="s">
        <v>259</v>
      </c>
      <c r="M135" s="15">
        <v>2019</v>
      </c>
      <c r="N135" s="30">
        <v>65000000</v>
      </c>
      <c r="Q135" s="20">
        <v>134</v>
      </c>
    </row>
    <row r="136" spans="1:17" ht="30" x14ac:dyDescent="0.25">
      <c r="A136" s="31">
        <v>135</v>
      </c>
      <c r="B136" s="17" t="s">
        <v>255</v>
      </c>
      <c r="C136" s="17" t="s">
        <v>43</v>
      </c>
      <c r="D136" s="17" t="s">
        <v>394</v>
      </c>
      <c r="E136" s="17" t="s">
        <v>327</v>
      </c>
      <c r="F136" s="17" t="s">
        <v>395</v>
      </c>
      <c r="G136" s="17" t="s">
        <v>215</v>
      </c>
      <c r="H136" s="17" t="s">
        <v>110</v>
      </c>
      <c r="I136" s="17" t="s">
        <v>396</v>
      </c>
      <c r="J136" s="17" t="s">
        <v>397</v>
      </c>
      <c r="K136" s="18" t="s">
        <v>259</v>
      </c>
      <c r="L136" s="17" t="s">
        <v>259</v>
      </c>
      <c r="M136" s="17">
        <v>2018</v>
      </c>
      <c r="N136" s="32">
        <v>55000000</v>
      </c>
      <c r="Q136" s="20">
        <v>135</v>
      </c>
    </row>
    <row r="137" spans="1:17" ht="30" x14ac:dyDescent="0.25">
      <c r="A137" s="29">
        <v>136</v>
      </c>
      <c r="B137" s="15" t="s">
        <v>255</v>
      </c>
      <c r="C137" s="15" t="s">
        <v>71</v>
      </c>
      <c r="D137" s="15" t="s">
        <v>398</v>
      </c>
      <c r="E137" s="15" t="s">
        <v>256</v>
      </c>
      <c r="F137" s="15" t="s">
        <v>399</v>
      </c>
      <c r="G137" s="15" t="s">
        <v>36</v>
      </c>
      <c r="H137" s="15" t="s">
        <v>28</v>
      </c>
      <c r="I137" s="15" t="s">
        <v>400</v>
      </c>
      <c r="J137" s="15" t="s">
        <v>401</v>
      </c>
      <c r="K137" s="16" t="s">
        <v>259</v>
      </c>
      <c r="L137" s="15" t="s">
        <v>259</v>
      </c>
      <c r="M137" s="15">
        <v>2019</v>
      </c>
      <c r="N137" s="30">
        <v>60000000</v>
      </c>
      <c r="Q137" s="20">
        <v>136</v>
      </c>
    </row>
    <row r="138" spans="1:17" ht="45" x14ac:dyDescent="0.25">
      <c r="A138" s="31">
        <v>137</v>
      </c>
      <c r="B138" s="17" t="s">
        <v>255</v>
      </c>
      <c r="C138" s="17" t="s">
        <v>65</v>
      </c>
      <c r="D138" s="17" t="s">
        <v>402</v>
      </c>
      <c r="E138" s="17" t="s">
        <v>344</v>
      </c>
      <c r="F138" s="17" t="s">
        <v>403</v>
      </c>
      <c r="G138" s="17" t="s">
        <v>110</v>
      </c>
      <c r="H138" s="17" t="s">
        <v>215</v>
      </c>
      <c r="I138" s="17" t="s">
        <v>404</v>
      </c>
      <c r="J138" s="17" t="s">
        <v>405</v>
      </c>
      <c r="K138" s="18" t="s">
        <v>259</v>
      </c>
      <c r="L138" s="17" t="s">
        <v>259</v>
      </c>
      <c r="M138" s="17">
        <v>2019</v>
      </c>
      <c r="N138" s="32">
        <v>65000000</v>
      </c>
      <c r="Q138" s="20">
        <v>137</v>
      </c>
    </row>
    <row r="139" spans="1:17" ht="30" x14ac:dyDescent="0.25">
      <c r="A139" s="29">
        <v>138</v>
      </c>
      <c r="B139" s="15" t="s">
        <v>255</v>
      </c>
      <c r="C139" s="15" t="s">
        <v>57</v>
      </c>
      <c r="D139" s="15" t="s">
        <v>406</v>
      </c>
      <c r="E139" s="15" t="s">
        <v>256</v>
      </c>
      <c r="F139" s="15" t="s">
        <v>407</v>
      </c>
      <c r="G139" s="15" t="s">
        <v>63</v>
      </c>
      <c r="H139" s="15" t="s">
        <v>52</v>
      </c>
      <c r="I139" s="15" t="s">
        <v>408</v>
      </c>
      <c r="J139" s="15" t="s">
        <v>409</v>
      </c>
      <c r="K139" s="16" t="s">
        <v>259</v>
      </c>
      <c r="L139" s="15" t="s">
        <v>259</v>
      </c>
      <c r="M139" s="15">
        <v>2018</v>
      </c>
      <c r="N139" s="30">
        <v>66000000</v>
      </c>
      <c r="Q139" s="20">
        <v>138</v>
      </c>
    </row>
    <row r="140" spans="1:17" ht="30" x14ac:dyDescent="0.25">
      <c r="A140" s="31">
        <v>139</v>
      </c>
      <c r="B140" s="17" t="s">
        <v>255</v>
      </c>
      <c r="C140" s="17" t="s">
        <v>86</v>
      </c>
      <c r="D140" s="17" t="s">
        <v>410</v>
      </c>
      <c r="E140" s="17" t="s">
        <v>266</v>
      </c>
      <c r="F140" s="17" t="s">
        <v>411</v>
      </c>
      <c r="G140" s="17" t="s">
        <v>11</v>
      </c>
      <c r="H140" s="17" t="s">
        <v>115</v>
      </c>
      <c r="I140" s="17" t="s">
        <v>412</v>
      </c>
      <c r="J140" s="17" t="s">
        <v>413</v>
      </c>
      <c r="K140" s="18" t="s">
        <v>259</v>
      </c>
      <c r="L140" s="17" t="s">
        <v>259</v>
      </c>
      <c r="M140" s="17">
        <v>2017</v>
      </c>
      <c r="N140" s="32">
        <v>56000000</v>
      </c>
      <c r="Q140" s="20">
        <v>139</v>
      </c>
    </row>
    <row r="141" spans="1:17" ht="30" x14ac:dyDescent="0.25">
      <c r="A141" s="29">
        <v>140</v>
      </c>
      <c r="B141" s="15" t="s">
        <v>255</v>
      </c>
      <c r="C141" s="15" t="s">
        <v>43</v>
      </c>
      <c r="D141" s="15" t="s">
        <v>414</v>
      </c>
      <c r="E141" s="15" t="s">
        <v>275</v>
      </c>
      <c r="F141" s="15" t="s">
        <v>415</v>
      </c>
      <c r="G141" s="15" t="s">
        <v>36</v>
      </c>
      <c r="H141" s="15" t="s">
        <v>11</v>
      </c>
      <c r="I141" s="15" t="s">
        <v>416</v>
      </c>
      <c r="J141" s="15" t="s">
        <v>417</v>
      </c>
      <c r="K141" s="16" t="s">
        <v>259</v>
      </c>
      <c r="L141" s="15" t="s">
        <v>259</v>
      </c>
      <c r="M141" s="15">
        <v>2018</v>
      </c>
      <c r="N141" s="30">
        <v>64000000</v>
      </c>
      <c r="Q141" s="20">
        <v>140</v>
      </c>
    </row>
    <row r="142" spans="1:17" ht="30" x14ac:dyDescent="0.25">
      <c r="A142" s="31">
        <v>141</v>
      </c>
      <c r="B142" s="17" t="s">
        <v>255</v>
      </c>
      <c r="C142" s="17" t="s">
        <v>8</v>
      </c>
      <c r="D142" s="17" t="s">
        <v>26</v>
      </c>
      <c r="E142" s="17" t="s">
        <v>256</v>
      </c>
      <c r="F142" s="17" t="s">
        <v>418</v>
      </c>
      <c r="G142" s="17" t="s">
        <v>41</v>
      </c>
      <c r="H142" s="17" t="s">
        <v>130</v>
      </c>
      <c r="I142" s="17" t="s">
        <v>419</v>
      </c>
      <c r="J142" s="17" t="s">
        <v>420</v>
      </c>
      <c r="K142" s="18" t="s">
        <v>259</v>
      </c>
      <c r="L142" s="17" t="s">
        <v>259</v>
      </c>
      <c r="M142" s="17">
        <v>2020</v>
      </c>
      <c r="N142" s="32">
        <v>62000000</v>
      </c>
      <c r="Q142" s="20">
        <v>141</v>
      </c>
    </row>
    <row r="143" spans="1:17" ht="30" x14ac:dyDescent="0.25">
      <c r="A143" s="29">
        <v>142</v>
      </c>
      <c r="B143" s="15" t="s">
        <v>255</v>
      </c>
      <c r="C143" s="15" t="s">
        <v>240</v>
      </c>
      <c r="D143" s="15" t="s">
        <v>421</v>
      </c>
      <c r="E143" s="15" t="s">
        <v>319</v>
      </c>
      <c r="F143" s="15" t="s">
        <v>422</v>
      </c>
      <c r="G143" s="15" t="s">
        <v>52</v>
      </c>
      <c r="H143" s="15" t="s">
        <v>33</v>
      </c>
      <c r="I143" s="15" t="s">
        <v>423</v>
      </c>
      <c r="J143" s="15" t="s">
        <v>424</v>
      </c>
      <c r="K143" s="16" t="s">
        <v>259</v>
      </c>
      <c r="L143" s="15" t="s">
        <v>259</v>
      </c>
      <c r="M143" s="15">
        <v>2018</v>
      </c>
      <c r="N143" s="30">
        <v>56000000</v>
      </c>
      <c r="Q143" s="20">
        <v>142</v>
      </c>
    </row>
    <row r="144" spans="1:17" ht="30" x14ac:dyDescent="0.25">
      <c r="A144" s="31">
        <v>143</v>
      </c>
      <c r="B144" s="17" t="s">
        <v>255</v>
      </c>
      <c r="C144" s="17" t="s">
        <v>50</v>
      </c>
      <c r="D144" s="17" t="s">
        <v>425</v>
      </c>
      <c r="E144" s="17" t="s">
        <v>256</v>
      </c>
      <c r="F144" s="17" t="s">
        <v>426</v>
      </c>
      <c r="G144" s="17" t="s">
        <v>41</v>
      </c>
      <c r="H144" s="17" t="s">
        <v>29</v>
      </c>
      <c r="I144" s="17" t="s">
        <v>427</v>
      </c>
      <c r="J144" s="17" t="s">
        <v>428</v>
      </c>
      <c r="K144" s="18" t="s">
        <v>259</v>
      </c>
      <c r="L144" s="17" t="s">
        <v>259</v>
      </c>
      <c r="M144" s="17">
        <v>2018</v>
      </c>
      <c r="N144" s="32">
        <v>73000000</v>
      </c>
      <c r="Q144" s="20">
        <v>143</v>
      </c>
    </row>
    <row r="145" spans="1:17" x14ac:dyDescent="0.25">
      <c r="A145" s="29">
        <v>144</v>
      </c>
      <c r="B145" s="15" t="s">
        <v>255</v>
      </c>
      <c r="C145" s="15" t="s">
        <v>65</v>
      </c>
      <c r="D145" s="15" t="s">
        <v>364</v>
      </c>
      <c r="E145" s="15" t="s">
        <v>256</v>
      </c>
      <c r="F145" s="15" t="s">
        <v>429</v>
      </c>
      <c r="G145" s="15" t="s">
        <v>124</v>
      </c>
      <c r="H145" s="15" t="s">
        <v>63</v>
      </c>
      <c r="I145" s="15" t="s">
        <v>430</v>
      </c>
      <c r="J145" s="15" t="s">
        <v>431</v>
      </c>
      <c r="K145" s="16" t="s">
        <v>259</v>
      </c>
      <c r="L145" s="15" t="s">
        <v>259</v>
      </c>
      <c r="M145" s="15">
        <v>2020</v>
      </c>
      <c r="N145" s="30">
        <v>60000000</v>
      </c>
      <c r="Q145" s="20">
        <v>144</v>
      </c>
    </row>
    <row r="146" spans="1:17" ht="45" x14ac:dyDescent="0.25">
      <c r="A146" s="31">
        <v>145</v>
      </c>
      <c r="B146" s="17" t="s">
        <v>255</v>
      </c>
      <c r="C146" s="17" t="s">
        <v>57</v>
      </c>
      <c r="D146" s="17" t="s">
        <v>432</v>
      </c>
      <c r="E146" s="17" t="s">
        <v>256</v>
      </c>
      <c r="F146" s="17" t="s">
        <v>433</v>
      </c>
      <c r="G146" s="17" t="s">
        <v>124</v>
      </c>
      <c r="H146" s="17" t="s">
        <v>215</v>
      </c>
      <c r="I146" s="17" t="s">
        <v>434</v>
      </c>
      <c r="J146" s="17" t="s">
        <v>435</v>
      </c>
      <c r="K146" s="18" t="s">
        <v>259</v>
      </c>
      <c r="L146" s="17" t="s">
        <v>259</v>
      </c>
      <c r="M146" s="17">
        <v>2020</v>
      </c>
      <c r="N146" s="32">
        <v>73000000</v>
      </c>
      <c r="Q146" s="20">
        <v>145</v>
      </c>
    </row>
    <row r="147" spans="1:17" ht="30" x14ac:dyDescent="0.25">
      <c r="A147" s="29">
        <v>146</v>
      </c>
      <c r="B147" s="15" t="s">
        <v>255</v>
      </c>
      <c r="C147" s="15" t="s">
        <v>50</v>
      </c>
      <c r="D147" s="15" t="s">
        <v>436</v>
      </c>
      <c r="E147" s="15" t="s">
        <v>275</v>
      </c>
      <c r="F147" s="15" t="s">
        <v>437</v>
      </c>
      <c r="G147" s="15" t="s">
        <v>52</v>
      </c>
      <c r="H147" s="15" t="s">
        <v>67</v>
      </c>
      <c r="I147" s="15" t="s">
        <v>438</v>
      </c>
      <c r="J147" s="15" t="s">
        <v>439</v>
      </c>
      <c r="K147" s="16" t="s">
        <v>259</v>
      </c>
      <c r="L147" s="15" t="s">
        <v>259</v>
      </c>
      <c r="M147" s="15">
        <v>2019</v>
      </c>
      <c r="N147" s="30">
        <v>74000000</v>
      </c>
      <c r="Q147" s="20">
        <v>146</v>
      </c>
    </row>
    <row r="148" spans="1:17" ht="45" x14ac:dyDescent="0.25">
      <c r="A148" s="31">
        <v>147</v>
      </c>
      <c r="B148" s="17" t="s">
        <v>255</v>
      </c>
      <c r="C148" s="17" t="s">
        <v>31</v>
      </c>
      <c r="D148" s="17" t="s">
        <v>440</v>
      </c>
      <c r="E148" s="17" t="s">
        <v>256</v>
      </c>
      <c r="F148" s="17" t="s">
        <v>441</v>
      </c>
      <c r="G148" s="17" t="s">
        <v>215</v>
      </c>
      <c r="H148" s="17" t="s">
        <v>23</v>
      </c>
      <c r="I148" s="17" t="s">
        <v>442</v>
      </c>
      <c r="J148" s="17" t="s">
        <v>443</v>
      </c>
      <c r="K148" s="18" t="s">
        <v>259</v>
      </c>
      <c r="L148" s="17" t="s">
        <v>259</v>
      </c>
      <c r="M148" s="17">
        <v>2019</v>
      </c>
      <c r="N148" s="32">
        <v>70000000</v>
      </c>
      <c r="Q148" s="20">
        <v>147</v>
      </c>
    </row>
    <row r="149" spans="1:17" ht="30" x14ac:dyDescent="0.25">
      <c r="A149" s="29">
        <v>148</v>
      </c>
      <c r="B149" s="15" t="s">
        <v>255</v>
      </c>
      <c r="C149" s="15" t="s">
        <v>103</v>
      </c>
      <c r="D149" s="15" t="s">
        <v>444</v>
      </c>
      <c r="E149" s="15" t="s">
        <v>256</v>
      </c>
      <c r="F149" s="15" t="s">
        <v>445</v>
      </c>
      <c r="G149" s="15" t="s">
        <v>88</v>
      </c>
      <c r="H149" s="15" t="s">
        <v>77</v>
      </c>
      <c r="I149" s="15" t="s">
        <v>446</v>
      </c>
      <c r="J149" s="15" t="s">
        <v>447</v>
      </c>
      <c r="K149" s="16" t="s">
        <v>259</v>
      </c>
      <c r="L149" s="15" t="s">
        <v>259</v>
      </c>
      <c r="M149" s="15">
        <v>2018</v>
      </c>
      <c r="N149" s="30">
        <v>70000000</v>
      </c>
      <c r="Q149" s="20">
        <v>148</v>
      </c>
    </row>
    <row r="150" spans="1:17" ht="45" x14ac:dyDescent="0.25">
      <c r="A150" s="31">
        <v>149</v>
      </c>
      <c r="B150" s="17" t="s">
        <v>255</v>
      </c>
      <c r="C150" s="17" t="s">
        <v>57</v>
      </c>
      <c r="D150" s="17" t="s">
        <v>448</v>
      </c>
      <c r="E150" s="17" t="s">
        <v>319</v>
      </c>
      <c r="F150" s="17" t="s">
        <v>449</v>
      </c>
      <c r="G150" s="17" t="s">
        <v>29</v>
      </c>
      <c r="H150" s="17" t="s">
        <v>33</v>
      </c>
      <c r="I150" s="17" t="s">
        <v>450</v>
      </c>
      <c r="J150" s="17" t="s">
        <v>451</v>
      </c>
      <c r="K150" s="18" t="s">
        <v>259</v>
      </c>
      <c r="L150" s="17" t="s">
        <v>259</v>
      </c>
      <c r="M150" s="17">
        <v>2020</v>
      </c>
      <c r="N150" s="32">
        <v>53000000</v>
      </c>
      <c r="Q150" s="20">
        <v>149</v>
      </c>
    </row>
    <row r="151" spans="1:17" ht="30" x14ac:dyDescent="0.25">
      <c r="A151" s="29">
        <v>150</v>
      </c>
      <c r="B151" s="15" t="s">
        <v>255</v>
      </c>
      <c r="C151" s="15" t="s">
        <v>108</v>
      </c>
      <c r="D151" s="15" t="s">
        <v>452</v>
      </c>
      <c r="E151" s="15" t="s">
        <v>256</v>
      </c>
      <c r="F151" s="15" t="s">
        <v>453</v>
      </c>
      <c r="G151" s="15" t="s">
        <v>29</v>
      </c>
      <c r="H151" s="15" t="s">
        <v>52</v>
      </c>
      <c r="I151" s="15" t="s">
        <v>454</v>
      </c>
      <c r="J151" s="15" t="s">
        <v>455</v>
      </c>
      <c r="K151" s="16" t="s">
        <v>259</v>
      </c>
      <c r="L151" s="15" t="s">
        <v>259</v>
      </c>
      <c r="M151" s="15">
        <v>2017</v>
      </c>
      <c r="N151" s="30">
        <v>50000000</v>
      </c>
      <c r="Q151" s="20">
        <v>150</v>
      </c>
    </row>
    <row r="152" spans="1:17" ht="30" x14ac:dyDescent="0.25">
      <c r="A152" s="31">
        <v>151</v>
      </c>
      <c r="B152" s="17" t="s">
        <v>255</v>
      </c>
      <c r="C152" s="17" t="s">
        <v>8</v>
      </c>
      <c r="D152" s="17" t="s">
        <v>456</v>
      </c>
      <c r="E152" s="17" t="s">
        <v>256</v>
      </c>
      <c r="F152" s="17" t="s">
        <v>457</v>
      </c>
      <c r="G152" s="17" t="s">
        <v>110</v>
      </c>
      <c r="H152" s="17" t="s">
        <v>130</v>
      </c>
      <c r="I152" s="17" t="s">
        <v>458</v>
      </c>
      <c r="J152" s="17" t="s">
        <v>459</v>
      </c>
      <c r="K152" s="18" t="s">
        <v>259</v>
      </c>
      <c r="L152" s="17" t="s">
        <v>259</v>
      </c>
      <c r="M152" s="17">
        <v>2018</v>
      </c>
      <c r="N152" s="32">
        <v>57000000</v>
      </c>
      <c r="Q152" s="20">
        <v>151</v>
      </c>
    </row>
    <row r="153" spans="1:17" ht="30" x14ac:dyDescent="0.25">
      <c r="A153" s="29">
        <v>152</v>
      </c>
      <c r="B153" s="15" t="s">
        <v>255</v>
      </c>
      <c r="C153" s="15" t="s">
        <v>18</v>
      </c>
      <c r="D153" s="15" t="s">
        <v>460</v>
      </c>
      <c r="E153" s="15" t="s">
        <v>284</v>
      </c>
      <c r="F153" s="15" t="s">
        <v>461</v>
      </c>
      <c r="G153" s="15" t="s">
        <v>48</v>
      </c>
      <c r="H153" s="15" t="s">
        <v>16</v>
      </c>
      <c r="I153" s="15" t="s">
        <v>462</v>
      </c>
      <c r="J153" s="15" t="s">
        <v>463</v>
      </c>
      <c r="K153" s="16" t="s">
        <v>259</v>
      </c>
      <c r="L153" s="15" t="s">
        <v>259</v>
      </c>
      <c r="M153" s="15">
        <v>2017</v>
      </c>
      <c r="N153" s="30">
        <v>52000000</v>
      </c>
      <c r="Q153" s="20">
        <v>152</v>
      </c>
    </row>
    <row r="154" spans="1:17" ht="30" x14ac:dyDescent="0.25">
      <c r="A154" s="31">
        <v>153</v>
      </c>
      <c r="B154" s="17" t="s">
        <v>255</v>
      </c>
      <c r="C154" s="17" t="s">
        <v>108</v>
      </c>
      <c r="D154" s="17" t="s">
        <v>464</v>
      </c>
      <c r="E154" s="17" t="s">
        <v>275</v>
      </c>
      <c r="F154" s="17" t="s">
        <v>465</v>
      </c>
      <c r="G154" s="17" t="s">
        <v>48</v>
      </c>
      <c r="H154" s="17" t="s">
        <v>52</v>
      </c>
      <c r="I154" s="17" t="s">
        <v>466</v>
      </c>
      <c r="J154" s="17" t="s">
        <v>467</v>
      </c>
      <c r="K154" s="18" t="s">
        <v>259</v>
      </c>
      <c r="L154" s="17" t="s">
        <v>259</v>
      </c>
      <c r="M154" s="17">
        <v>2020</v>
      </c>
      <c r="N154" s="32">
        <v>58000000</v>
      </c>
      <c r="Q154" s="20">
        <v>153</v>
      </c>
    </row>
    <row r="155" spans="1:17" ht="30" x14ac:dyDescent="0.25">
      <c r="A155" s="29">
        <v>154</v>
      </c>
      <c r="B155" s="15" t="s">
        <v>255</v>
      </c>
      <c r="C155" s="15" t="s">
        <v>71</v>
      </c>
      <c r="D155" s="15" t="s">
        <v>468</v>
      </c>
      <c r="E155" s="15" t="s">
        <v>275</v>
      </c>
      <c r="F155" s="15" t="s">
        <v>469</v>
      </c>
      <c r="G155" s="15" t="s">
        <v>77</v>
      </c>
      <c r="H155" s="15" t="s">
        <v>130</v>
      </c>
      <c r="I155" s="15" t="s">
        <v>470</v>
      </c>
      <c r="J155" s="15" t="s">
        <v>471</v>
      </c>
      <c r="K155" s="16" t="s">
        <v>259</v>
      </c>
      <c r="L155" s="15" t="s">
        <v>259</v>
      </c>
      <c r="M155" s="15">
        <v>2020</v>
      </c>
      <c r="N155" s="30">
        <v>65000000</v>
      </c>
      <c r="Q155" s="20">
        <v>154</v>
      </c>
    </row>
    <row r="156" spans="1:17" ht="30" x14ac:dyDescent="0.25">
      <c r="A156" s="31">
        <v>155</v>
      </c>
      <c r="B156" s="17" t="s">
        <v>255</v>
      </c>
      <c r="C156" s="17" t="s">
        <v>57</v>
      </c>
      <c r="D156" s="17" t="s">
        <v>472</v>
      </c>
      <c r="E156" s="17" t="s">
        <v>256</v>
      </c>
      <c r="F156" s="17" t="s">
        <v>473</v>
      </c>
      <c r="G156" s="17" t="s">
        <v>16</v>
      </c>
      <c r="H156" s="17" t="s">
        <v>115</v>
      </c>
      <c r="I156" s="17" t="s">
        <v>474</v>
      </c>
      <c r="J156" s="17" t="s">
        <v>475</v>
      </c>
      <c r="K156" s="18" t="s">
        <v>259</v>
      </c>
      <c r="L156" s="17" t="s">
        <v>259</v>
      </c>
      <c r="M156" s="17">
        <v>2019</v>
      </c>
      <c r="N156" s="32">
        <v>74000000</v>
      </c>
      <c r="Q156" s="20">
        <v>155</v>
      </c>
    </row>
    <row r="157" spans="1:17" ht="30" x14ac:dyDescent="0.25">
      <c r="A157" s="29">
        <v>156</v>
      </c>
      <c r="B157" s="15" t="s">
        <v>255</v>
      </c>
      <c r="C157" s="15" t="s">
        <v>71</v>
      </c>
      <c r="D157" s="15" t="s">
        <v>468</v>
      </c>
      <c r="E157" s="15" t="s">
        <v>256</v>
      </c>
      <c r="F157" s="15" t="s">
        <v>476</v>
      </c>
      <c r="G157" s="15" t="s">
        <v>28</v>
      </c>
      <c r="H157" s="15" t="s">
        <v>82</v>
      </c>
      <c r="I157" s="15" t="s">
        <v>477</v>
      </c>
      <c r="J157" s="15" t="s">
        <v>478</v>
      </c>
      <c r="K157" s="16" t="s">
        <v>259</v>
      </c>
      <c r="L157" s="15" t="s">
        <v>259</v>
      </c>
      <c r="M157" s="15">
        <v>2020</v>
      </c>
      <c r="N157" s="30">
        <v>67000000</v>
      </c>
      <c r="Q157" s="20">
        <v>156</v>
      </c>
    </row>
    <row r="158" spans="1:17" ht="45" x14ac:dyDescent="0.25">
      <c r="A158" s="31">
        <v>157</v>
      </c>
      <c r="B158" s="17" t="s">
        <v>255</v>
      </c>
      <c r="C158" s="17" t="s">
        <v>65</v>
      </c>
      <c r="D158" s="17" t="s">
        <v>479</v>
      </c>
      <c r="E158" s="17" t="s">
        <v>275</v>
      </c>
      <c r="F158" s="17" t="s">
        <v>480</v>
      </c>
      <c r="G158" s="17" t="s">
        <v>12</v>
      </c>
      <c r="H158" s="17" t="s">
        <v>23</v>
      </c>
      <c r="I158" s="17" t="s">
        <v>481</v>
      </c>
      <c r="J158" s="17" t="s">
        <v>482</v>
      </c>
      <c r="K158" s="18" t="s">
        <v>259</v>
      </c>
      <c r="L158" s="17" t="s">
        <v>259</v>
      </c>
      <c r="M158" s="17">
        <v>2017</v>
      </c>
      <c r="N158" s="32">
        <v>72000000</v>
      </c>
      <c r="Q158" s="20">
        <v>157</v>
      </c>
    </row>
    <row r="159" spans="1:17" ht="45" x14ac:dyDescent="0.25">
      <c r="A159" s="29">
        <v>158</v>
      </c>
      <c r="B159" s="15" t="s">
        <v>255</v>
      </c>
      <c r="C159" s="15" t="s">
        <v>86</v>
      </c>
      <c r="D159" s="15" t="s">
        <v>483</v>
      </c>
      <c r="E159" s="15" t="s">
        <v>256</v>
      </c>
      <c r="F159" s="15" t="s">
        <v>484</v>
      </c>
      <c r="G159" s="15" t="s">
        <v>88</v>
      </c>
      <c r="H159" s="15" t="s">
        <v>124</v>
      </c>
      <c r="I159" s="15" t="s">
        <v>485</v>
      </c>
      <c r="J159" s="15" t="s">
        <v>486</v>
      </c>
      <c r="K159" s="16" t="s">
        <v>259</v>
      </c>
      <c r="L159" s="15" t="s">
        <v>259</v>
      </c>
      <c r="M159" s="15">
        <v>2018</v>
      </c>
      <c r="N159" s="30">
        <v>75000000</v>
      </c>
      <c r="Q159" s="20">
        <v>158</v>
      </c>
    </row>
    <row r="160" spans="1:17" ht="45" x14ac:dyDescent="0.25">
      <c r="A160" s="31">
        <v>159</v>
      </c>
      <c r="B160" s="17" t="s">
        <v>255</v>
      </c>
      <c r="C160" s="17" t="s">
        <v>8</v>
      </c>
      <c r="D160" s="17" t="s">
        <v>487</v>
      </c>
      <c r="E160" s="17" t="s">
        <v>275</v>
      </c>
      <c r="F160" s="17" t="s">
        <v>488</v>
      </c>
      <c r="G160" s="17" t="s">
        <v>48</v>
      </c>
      <c r="H160" s="17" t="s">
        <v>88</v>
      </c>
      <c r="I160" s="17" t="s">
        <v>489</v>
      </c>
      <c r="J160" s="17" t="s">
        <v>490</v>
      </c>
      <c r="K160" s="18" t="s">
        <v>259</v>
      </c>
      <c r="L160" s="17" t="s">
        <v>259</v>
      </c>
      <c r="M160" s="17">
        <v>2018</v>
      </c>
      <c r="N160" s="32">
        <v>61000000</v>
      </c>
      <c r="Q160" s="20">
        <v>159</v>
      </c>
    </row>
    <row r="161" spans="1:17" ht="45" x14ac:dyDescent="0.25">
      <c r="A161" s="29">
        <v>160</v>
      </c>
      <c r="B161" s="15" t="s">
        <v>255</v>
      </c>
      <c r="C161" s="15" t="s">
        <v>71</v>
      </c>
      <c r="D161" s="15" t="s">
        <v>491</v>
      </c>
      <c r="E161" s="15" t="s">
        <v>256</v>
      </c>
      <c r="F161" s="15" t="s">
        <v>492</v>
      </c>
      <c r="G161" s="15" t="s">
        <v>82</v>
      </c>
      <c r="H161" s="15" t="s">
        <v>88</v>
      </c>
      <c r="I161" s="15" t="s">
        <v>493</v>
      </c>
      <c r="J161" s="15" t="s">
        <v>494</v>
      </c>
      <c r="K161" s="16" t="s">
        <v>259</v>
      </c>
      <c r="L161" s="15" t="s">
        <v>259</v>
      </c>
      <c r="M161" s="15">
        <v>2020</v>
      </c>
      <c r="N161" s="30">
        <v>53000000</v>
      </c>
      <c r="Q161" s="20">
        <v>160</v>
      </c>
    </row>
    <row r="162" spans="1:17" x14ac:dyDescent="0.25">
      <c r="A162" s="31">
        <v>161</v>
      </c>
      <c r="B162" s="17" t="s">
        <v>255</v>
      </c>
      <c r="C162" s="17" t="s">
        <v>65</v>
      </c>
      <c r="D162" s="17" t="s">
        <v>495</v>
      </c>
      <c r="E162" s="17" t="s">
        <v>266</v>
      </c>
      <c r="F162" s="17" t="s">
        <v>496</v>
      </c>
      <c r="G162" s="17" t="s">
        <v>12</v>
      </c>
      <c r="H162" s="17" t="s">
        <v>215</v>
      </c>
      <c r="I162" s="17" t="s">
        <v>497</v>
      </c>
      <c r="J162" s="17" t="s">
        <v>498</v>
      </c>
      <c r="K162" s="18" t="s">
        <v>259</v>
      </c>
      <c r="L162" s="17" t="s">
        <v>259</v>
      </c>
      <c r="M162" s="17">
        <v>2019</v>
      </c>
      <c r="N162" s="32">
        <v>56000000</v>
      </c>
      <c r="Q162" s="20">
        <v>161</v>
      </c>
    </row>
    <row r="163" spans="1:17" ht="45" x14ac:dyDescent="0.25">
      <c r="A163" s="29">
        <v>162</v>
      </c>
      <c r="B163" s="15" t="s">
        <v>255</v>
      </c>
      <c r="C163" s="15" t="s">
        <v>31</v>
      </c>
      <c r="D163" s="15" t="s">
        <v>499</v>
      </c>
      <c r="E163" s="15" t="s">
        <v>256</v>
      </c>
      <c r="F163" s="15" t="s">
        <v>500</v>
      </c>
      <c r="G163" s="15" t="s">
        <v>147</v>
      </c>
      <c r="H163" s="15" t="s">
        <v>67</v>
      </c>
      <c r="I163" s="15" t="s">
        <v>501</v>
      </c>
      <c r="J163" s="15" t="s">
        <v>502</v>
      </c>
      <c r="K163" s="16" t="s">
        <v>259</v>
      </c>
      <c r="L163" s="15" t="s">
        <v>259</v>
      </c>
      <c r="M163" s="15">
        <v>2020</v>
      </c>
      <c r="N163" s="30">
        <v>56000000</v>
      </c>
      <c r="Q163" s="20">
        <v>162</v>
      </c>
    </row>
    <row r="164" spans="1:17" ht="45" x14ac:dyDescent="0.25">
      <c r="A164" s="31">
        <v>163</v>
      </c>
      <c r="B164" s="17" t="s">
        <v>255</v>
      </c>
      <c r="C164" s="17" t="s">
        <v>8</v>
      </c>
      <c r="D164" s="17" t="s">
        <v>503</v>
      </c>
      <c r="E164" s="17" t="s">
        <v>275</v>
      </c>
      <c r="F164" s="17" t="s">
        <v>504</v>
      </c>
      <c r="G164" s="17" t="s">
        <v>23</v>
      </c>
      <c r="H164" s="17" t="s">
        <v>147</v>
      </c>
      <c r="I164" s="17" t="s">
        <v>505</v>
      </c>
      <c r="J164" s="17" t="s">
        <v>506</v>
      </c>
      <c r="K164" s="18" t="s">
        <v>259</v>
      </c>
      <c r="L164" s="17" t="s">
        <v>259</v>
      </c>
      <c r="M164" s="17">
        <v>2017</v>
      </c>
      <c r="N164" s="32">
        <v>61000000</v>
      </c>
      <c r="Q164" s="20">
        <v>163</v>
      </c>
    </row>
    <row r="165" spans="1:17" ht="30" x14ac:dyDescent="0.25">
      <c r="A165" s="29">
        <v>164</v>
      </c>
      <c r="B165" s="15" t="s">
        <v>255</v>
      </c>
      <c r="C165" s="15" t="s">
        <v>103</v>
      </c>
      <c r="D165" s="15" t="s">
        <v>310</v>
      </c>
      <c r="E165" s="15" t="s">
        <v>284</v>
      </c>
      <c r="F165" s="15" t="s">
        <v>507</v>
      </c>
      <c r="G165" s="15" t="s">
        <v>215</v>
      </c>
      <c r="H165" s="15" t="s">
        <v>106</v>
      </c>
      <c r="I165" s="15" t="s">
        <v>508</v>
      </c>
      <c r="J165" s="15" t="s">
        <v>509</v>
      </c>
      <c r="K165" s="16" t="s">
        <v>259</v>
      </c>
      <c r="L165" s="15" t="s">
        <v>259</v>
      </c>
      <c r="M165" s="15">
        <v>2020</v>
      </c>
      <c r="N165" s="30">
        <v>52000000</v>
      </c>
      <c r="Q165" s="20">
        <v>164</v>
      </c>
    </row>
    <row r="166" spans="1:17" ht="45" x14ac:dyDescent="0.25">
      <c r="A166" s="31">
        <v>165</v>
      </c>
      <c r="B166" s="17" t="s">
        <v>255</v>
      </c>
      <c r="C166" s="17" t="s">
        <v>240</v>
      </c>
      <c r="D166" s="17" t="s">
        <v>510</v>
      </c>
      <c r="E166" s="17" t="s">
        <v>256</v>
      </c>
      <c r="F166" s="17" t="s">
        <v>511</v>
      </c>
      <c r="G166" s="17" t="s">
        <v>147</v>
      </c>
      <c r="H166" s="17" t="s">
        <v>12</v>
      </c>
      <c r="I166" s="17" t="s">
        <v>512</v>
      </c>
      <c r="J166" s="17" t="s">
        <v>513</v>
      </c>
      <c r="K166" s="18" t="s">
        <v>259</v>
      </c>
      <c r="L166" s="17" t="s">
        <v>259</v>
      </c>
      <c r="M166" s="17">
        <v>2017</v>
      </c>
      <c r="N166" s="32">
        <v>58000000</v>
      </c>
      <c r="Q166" s="20">
        <v>165</v>
      </c>
    </row>
    <row r="167" spans="1:17" ht="45" x14ac:dyDescent="0.25">
      <c r="A167" s="29">
        <v>166</v>
      </c>
      <c r="B167" s="15" t="s">
        <v>255</v>
      </c>
      <c r="C167" s="15" t="s">
        <v>65</v>
      </c>
      <c r="D167" s="15" t="s">
        <v>514</v>
      </c>
      <c r="E167" s="15" t="s">
        <v>256</v>
      </c>
      <c r="F167" s="15" t="s">
        <v>515</v>
      </c>
      <c r="G167" s="15" t="s">
        <v>55</v>
      </c>
      <c r="H167" s="15" t="s">
        <v>24</v>
      </c>
      <c r="I167" s="15" t="s">
        <v>516</v>
      </c>
      <c r="J167" s="15" t="s">
        <v>517</v>
      </c>
      <c r="K167" s="16" t="s">
        <v>259</v>
      </c>
      <c r="L167" s="15" t="s">
        <v>259</v>
      </c>
      <c r="M167" s="15">
        <v>2017</v>
      </c>
      <c r="N167" s="30">
        <v>75000000</v>
      </c>
      <c r="Q167" s="20">
        <v>166</v>
      </c>
    </row>
    <row r="168" spans="1:17" ht="45" x14ac:dyDescent="0.25">
      <c r="A168" s="31">
        <v>167</v>
      </c>
      <c r="B168" s="17" t="s">
        <v>255</v>
      </c>
      <c r="C168" s="17" t="s">
        <v>43</v>
      </c>
      <c r="D168" s="17" t="s">
        <v>295</v>
      </c>
      <c r="E168" s="17" t="s">
        <v>275</v>
      </c>
      <c r="F168" s="17" t="s">
        <v>518</v>
      </c>
      <c r="G168" s="17" t="s">
        <v>63</v>
      </c>
      <c r="H168" s="17" t="s">
        <v>33</v>
      </c>
      <c r="I168" s="17" t="s">
        <v>519</v>
      </c>
      <c r="J168" s="17" t="s">
        <v>520</v>
      </c>
      <c r="K168" s="18" t="s">
        <v>259</v>
      </c>
      <c r="L168" s="17" t="s">
        <v>259</v>
      </c>
      <c r="M168" s="17">
        <v>2020</v>
      </c>
      <c r="N168" s="32">
        <v>62000000</v>
      </c>
      <c r="Q168" s="20">
        <v>167</v>
      </c>
    </row>
    <row r="169" spans="1:17" ht="30" x14ac:dyDescent="0.25">
      <c r="A169" s="29">
        <v>168</v>
      </c>
      <c r="B169" s="15" t="s">
        <v>255</v>
      </c>
      <c r="C169" s="15" t="s">
        <v>240</v>
      </c>
      <c r="D169" s="15" t="s">
        <v>521</v>
      </c>
      <c r="E169" s="15" t="s">
        <v>256</v>
      </c>
      <c r="F169" s="15" t="s">
        <v>522</v>
      </c>
      <c r="G169" s="15" t="s">
        <v>11</v>
      </c>
      <c r="H169" s="15" t="s">
        <v>63</v>
      </c>
      <c r="I169" s="15" t="s">
        <v>523</v>
      </c>
      <c r="J169" s="15" t="s">
        <v>524</v>
      </c>
      <c r="K169" s="16" t="s">
        <v>259</v>
      </c>
      <c r="L169" s="15" t="s">
        <v>259</v>
      </c>
      <c r="M169" s="15">
        <v>2020</v>
      </c>
      <c r="N169" s="30">
        <v>66000000</v>
      </c>
      <c r="Q169" s="20">
        <v>168</v>
      </c>
    </row>
    <row r="170" spans="1:17" ht="45" x14ac:dyDescent="0.25">
      <c r="A170" s="31">
        <v>169</v>
      </c>
      <c r="B170" s="17" t="s">
        <v>255</v>
      </c>
      <c r="C170" s="17" t="s">
        <v>71</v>
      </c>
      <c r="D170" s="17" t="s">
        <v>72</v>
      </c>
      <c r="E170" s="17" t="s">
        <v>256</v>
      </c>
      <c r="F170" s="17" t="s">
        <v>525</v>
      </c>
      <c r="G170" s="17" t="s">
        <v>11</v>
      </c>
      <c r="H170" s="17" t="s">
        <v>12</v>
      </c>
      <c r="I170" s="17" t="s">
        <v>526</v>
      </c>
      <c r="J170" s="17" t="s">
        <v>527</v>
      </c>
      <c r="K170" s="18" t="s">
        <v>259</v>
      </c>
      <c r="L170" s="17" t="s">
        <v>259</v>
      </c>
      <c r="M170" s="17">
        <v>2018</v>
      </c>
      <c r="N170" s="32">
        <v>72000000</v>
      </c>
      <c r="Q170" s="20">
        <v>169</v>
      </c>
    </row>
    <row r="171" spans="1:17" ht="45" x14ac:dyDescent="0.25">
      <c r="A171" s="29">
        <v>170</v>
      </c>
      <c r="B171" s="15" t="s">
        <v>255</v>
      </c>
      <c r="C171" s="15" t="s">
        <v>71</v>
      </c>
      <c r="D171" s="15" t="s">
        <v>335</v>
      </c>
      <c r="E171" s="15" t="s">
        <v>256</v>
      </c>
      <c r="F171" s="15" t="s">
        <v>528</v>
      </c>
      <c r="G171" s="15" t="s">
        <v>16</v>
      </c>
      <c r="H171" s="15" t="s">
        <v>147</v>
      </c>
      <c r="I171" s="15" t="s">
        <v>529</v>
      </c>
      <c r="J171" s="15" t="s">
        <v>749</v>
      </c>
      <c r="K171" s="16" t="s">
        <v>259</v>
      </c>
      <c r="L171" s="15" t="s">
        <v>259</v>
      </c>
      <c r="M171" s="15">
        <v>2019</v>
      </c>
      <c r="N171" s="30">
        <v>74000000</v>
      </c>
      <c r="Q171" s="20">
        <v>170</v>
      </c>
    </row>
    <row r="172" spans="1:17" ht="30" x14ac:dyDescent="0.25">
      <c r="A172" s="31">
        <v>171</v>
      </c>
      <c r="B172" s="17" t="s">
        <v>255</v>
      </c>
      <c r="C172" s="17" t="s">
        <v>240</v>
      </c>
      <c r="D172" s="17" t="s">
        <v>530</v>
      </c>
      <c r="E172" s="17" t="s">
        <v>531</v>
      </c>
      <c r="F172" s="17" t="s">
        <v>532</v>
      </c>
      <c r="G172" s="17" t="s">
        <v>215</v>
      </c>
      <c r="H172" s="17" t="s">
        <v>16</v>
      </c>
      <c r="I172" s="17" t="s">
        <v>533</v>
      </c>
      <c r="J172" s="17" t="s">
        <v>534</v>
      </c>
      <c r="K172" s="18" t="s">
        <v>259</v>
      </c>
      <c r="L172" s="17" t="s">
        <v>259</v>
      </c>
      <c r="M172" s="17">
        <v>2017</v>
      </c>
      <c r="N172" s="32">
        <v>72000000</v>
      </c>
      <c r="Q172" s="20">
        <v>171</v>
      </c>
    </row>
    <row r="173" spans="1:17" ht="30" x14ac:dyDescent="0.25">
      <c r="A173" s="29">
        <v>172</v>
      </c>
      <c r="B173" s="15" t="s">
        <v>255</v>
      </c>
      <c r="C173" s="15" t="s">
        <v>50</v>
      </c>
      <c r="D173" s="15" t="s">
        <v>535</v>
      </c>
      <c r="E173" s="15" t="s">
        <v>256</v>
      </c>
      <c r="F173" s="15" t="s">
        <v>536</v>
      </c>
      <c r="G173" s="15" t="s">
        <v>147</v>
      </c>
      <c r="H173" s="15" t="s">
        <v>67</v>
      </c>
      <c r="I173" s="15" t="s">
        <v>537</v>
      </c>
      <c r="J173" s="15" t="s">
        <v>750</v>
      </c>
      <c r="K173" s="16" t="s">
        <v>259</v>
      </c>
      <c r="L173" s="15" t="s">
        <v>259</v>
      </c>
      <c r="M173" s="15">
        <v>2019</v>
      </c>
      <c r="N173" s="30">
        <v>63000000</v>
      </c>
      <c r="Q173" s="20">
        <v>172</v>
      </c>
    </row>
    <row r="174" spans="1:17" ht="45" x14ac:dyDescent="0.25">
      <c r="A174" s="31">
        <v>173</v>
      </c>
      <c r="B174" s="17" t="s">
        <v>255</v>
      </c>
      <c r="C174" s="17" t="s">
        <v>14</v>
      </c>
      <c r="D174" s="17" t="s">
        <v>538</v>
      </c>
      <c r="E174" s="17" t="s">
        <v>256</v>
      </c>
      <c r="F174" s="17" t="s">
        <v>539</v>
      </c>
      <c r="G174" s="17" t="s">
        <v>41</v>
      </c>
      <c r="H174" s="17" t="s">
        <v>67</v>
      </c>
      <c r="I174" s="17" t="s">
        <v>540</v>
      </c>
      <c r="J174" s="17" t="s">
        <v>541</v>
      </c>
      <c r="K174" s="18" t="s">
        <v>259</v>
      </c>
      <c r="L174" s="17" t="s">
        <v>259</v>
      </c>
      <c r="M174" s="17">
        <v>2018</v>
      </c>
      <c r="N174" s="32">
        <v>75000000</v>
      </c>
      <c r="Q174" s="20">
        <v>173</v>
      </c>
    </row>
    <row r="175" spans="1:17" ht="45" x14ac:dyDescent="0.25">
      <c r="A175" s="29">
        <v>174</v>
      </c>
      <c r="B175" s="15" t="s">
        <v>255</v>
      </c>
      <c r="C175" s="15" t="s">
        <v>108</v>
      </c>
      <c r="D175" s="15" t="s">
        <v>206</v>
      </c>
      <c r="E175" s="15" t="s">
        <v>261</v>
      </c>
      <c r="F175" s="15" t="s">
        <v>542</v>
      </c>
      <c r="G175" s="15" t="s">
        <v>36</v>
      </c>
      <c r="H175" s="15" t="s">
        <v>12</v>
      </c>
      <c r="I175" s="15" t="s">
        <v>543</v>
      </c>
      <c r="J175" s="15" t="s">
        <v>544</v>
      </c>
      <c r="K175" s="16" t="s">
        <v>259</v>
      </c>
      <c r="L175" s="15" t="s">
        <v>259</v>
      </c>
      <c r="M175" s="15">
        <v>2018</v>
      </c>
      <c r="N175" s="30">
        <v>73000000</v>
      </c>
      <c r="Q175" s="20">
        <v>174</v>
      </c>
    </row>
    <row r="176" spans="1:17" ht="30" x14ac:dyDescent="0.25">
      <c r="A176" s="31">
        <v>175</v>
      </c>
      <c r="B176" s="17" t="s">
        <v>255</v>
      </c>
      <c r="C176" s="17" t="s">
        <v>43</v>
      </c>
      <c r="D176" s="17" t="s">
        <v>545</v>
      </c>
      <c r="E176" s="17" t="s">
        <v>319</v>
      </c>
      <c r="F176" s="17" t="s">
        <v>546</v>
      </c>
      <c r="G176" s="17" t="s">
        <v>63</v>
      </c>
      <c r="H176" s="17" t="s">
        <v>28</v>
      </c>
      <c r="I176" s="17" t="s">
        <v>547</v>
      </c>
      <c r="J176" s="17" t="s">
        <v>548</v>
      </c>
      <c r="K176" s="18" t="s">
        <v>259</v>
      </c>
      <c r="L176" s="17" t="s">
        <v>259</v>
      </c>
      <c r="M176" s="17">
        <v>2019</v>
      </c>
      <c r="N176" s="32">
        <v>51000000</v>
      </c>
      <c r="Q176" s="20">
        <v>175</v>
      </c>
    </row>
    <row r="177" spans="1:17" ht="45" x14ac:dyDescent="0.25">
      <c r="A177" s="29">
        <v>176</v>
      </c>
      <c r="B177" s="15" t="s">
        <v>255</v>
      </c>
      <c r="C177" s="15" t="s">
        <v>14</v>
      </c>
      <c r="D177" s="15" t="s">
        <v>549</v>
      </c>
      <c r="E177" s="15" t="s">
        <v>266</v>
      </c>
      <c r="F177" s="15" t="s">
        <v>550</v>
      </c>
      <c r="G177" s="15" t="s">
        <v>75</v>
      </c>
      <c r="H177" s="15" t="s">
        <v>28</v>
      </c>
      <c r="I177" s="15" t="s">
        <v>551</v>
      </c>
      <c r="J177" s="15" t="s">
        <v>552</v>
      </c>
      <c r="K177" s="16" t="s">
        <v>259</v>
      </c>
      <c r="L177" s="15" t="s">
        <v>259</v>
      </c>
      <c r="M177" s="15">
        <v>2020</v>
      </c>
      <c r="N177" s="30">
        <v>67000000</v>
      </c>
      <c r="Q177" s="20">
        <v>176</v>
      </c>
    </row>
    <row r="178" spans="1:17" ht="45" x14ac:dyDescent="0.25">
      <c r="A178" s="31">
        <v>177</v>
      </c>
      <c r="B178" s="17" t="s">
        <v>255</v>
      </c>
      <c r="C178" s="17" t="s">
        <v>57</v>
      </c>
      <c r="D178" s="17" t="s">
        <v>448</v>
      </c>
      <c r="E178" s="17" t="s">
        <v>256</v>
      </c>
      <c r="F178" s="17" t="s">
        <v>553</v>
      </c>
      <c r="G178" s="17" t="s">
        <v>12</v>
      </c>
      <c r="H178" s="17" t="s">
        <v>52</v>
      </c>
      <c r="I178" s="17" t="s">
        <v>554</v>
      </c>
      <c r="J178" s="17" t="s">
        <v>555</v>
      </c>
      <c r="K178" s="18" t="s">
        <v>259</v>
      </c>
      <c r="L178" s="17" t="s">
        <v>259</v>
      </c>
      <c r="M178" s="17">
        <v>2018</v>
      </c>
      <c r="N178" s="32">
        <v>70000000</v>
      </c>
      <c r="Q178" s="20">
        <v>177</v>
      </c>
    </row>
    <row r="179" spans="1:17" ht="45" x14ac:dyDescent="0.25">
      <c r="A179" s="29">
        <v>178</v>
      </c>
      <c r="B179" s="15" t="s">
        <v>255</v>
      </c>
      <c r="C179" s="15" t="s">
        <v>8</v>
      </c>
      <c r="D179" s="15" t="s">
        <v>556</v>
      </c>
      <c r="E179" s="15" t="s">
        <v>256</v>
      </c>
      <c r="F179" s="15" t="s">
        <v>557</v>
      </c>
      <c r="G179" s="15" t="s">
        <v>130</v>
      </c>
      <c r="H179" s="15" t="s">
        <v>110</v>
      </c>
      <c r="I179" s="15" t="s">
        <v>558</v>
      </c>
      <c r="J179" s="15" t="s">
        <v>559</v>
      </c>
      <c r="K179" s="16" t="s">
        <v>259</v>
      </c>
      <c r="L179" s="15" t="s">
        <v>259</v>
      </c>
      <c r="M179" s="15">
        <v>2018</v>
      </c>
      <c r="N179" s="30">
        <v>64000000</v>
      </c>
      <c r="Q179" s="20">
        <v>178</v>
      </c>
    </row>
    <row r="180" spans="1:17" ht="30" x14ac:dyDescent="0.25">
      <c r="A180" s="31">
        <v>179</v>
      </c>
      <c r="B180" s="17" t="s">
        <v>255</v>
      </c>
      <c r="C180" s="17" t="s">
        <v>31</v>
      </c>
      <c r="D180" s="17" t="s">
        <v>126</v>
      </c>
      <c r="E180" s="17" t="s">
        <v>256</v>
      </c>
      <c r="F180" s="17" t="s">
        <v>560</v>
      </c>
      <c r="G180" s="17" t="s">
        <v>52</v>
      </c>
      <c r="H180" s="17" t="s">
        <v>115</v>
      </c>
      <c r="I180" s="17" t="s">
        <v>561</v>
      </c>
      <c r="J180" s="17" t="s">
        <v>562</v>
      </c>
      <c r="K180" s="18" t="s">
        <v>259</v>
      </c>
      <c r="L180" s="17" t="s">
        <v>259</v>
      </c>
      <c r="M180" s="17">
        <v>2017</v>
      </c>
      <c r="N180" s="32">
        <v>65000000</v>
      </c>
      <c r="Q180" s="20">
        <v>179</v>
      </c>
    </row>
    <row r="181" spans="1:17" ht="30" x14ac:dyDescent="0.25">
      <c r="A181" s="29">
        <v>180</v>
      </c>
      <c r="B181" s="15" t="s">
        <v>255</v>
      </c>
      <c r="C181" s="15" t="s">
        <v>18</v>
      </c>
      <c r="D181" s="15" t="s">
        <v>460</v>
      </c>
      <c r="E181" s="15" t="s">
        <v>275</v>
      </c>
      <c r="F181" s="15" t="s">
        <v>563</v>
      </c>
      <c r="G181" s="15" t="s">
        <v>23</v>
      </c>
      <c r="H181" s="15" t="s">
        <v>130</v>
      </c>
      <c r="I181" s="15" t="s">
        <v>564</v>
      </c>
      <c r="J181" s="15" t="s">
        <v>565</v>
      </c>
      <c r="K181" s="16" t="s">
        <v>259</v>
      </c>
      <c r="L181" s="15" t="s">
        <v>259</v>
      </c>
      <c r="M181" s="15">
        <v>2020</v>
      </c>
      <c r="N181" s="30">
        <v>72000000</v>
      </c>
      <c r="Q181" s="20">
        <v>180</v>
      </c>
    </row>
    <row r="182" spans="1:17" ht="30" x14ac:dyDescent="0.25">
      <c r="A182" s="31">
        <v>181</v>
      </c>
      <c r="B182" s="17" t="s">
        <v>255</v>
      </c>
      <c r="C182" s="17" t="s">
        <v>50</v>
      </c>
      <c r="D182" s="17" t="s">
        <v>306</v>
      </c>
      <c r="E182" s="17" t="s">
        <v>256</v>
      </c>
      <c r="F182" s="17" t="s">
        <v>566</v>
      </c>
      <c r="G182" s="17" t="s">
        <v>23</v>
      </c>
      <c r="H182" s="17" t="s">
        <v>75</v>
      </c>
      <c r="I182" s="17" t="s">
        <v>567</v>
      </c>
      <c r="J182" s="17" t="s">
        <v>568</v>
      </c>
      <c r="K182" s="18" t="s">
        <v>259</v>
      </c>
      <c r="L182" s="17" t="s">
        <v>259</v>
      </c>
      <c r="M182" s="17">
        <v>2019</v>
      </c>
      <c r="N182" s="32">
        <v>55000000</v>
      </c>
      <c r="Q182" s="20">
        <v>181</v>
      </c>
    </row>
    <row r="183" spans="1:17" ht="45" x14ac:dyDescent="0.25">
      <c r="A183" s="29">
        <v>182</v>
      </c>
      <c r="B183" s="15" t="s">
        <v>255</v>
      </c>
      <c r="C183" s="15" t="s">
        <v>31</v>
      </c>
      <c r="D183" s="15" t="s">
        <v>569</v>
      </c>
      <c r="E183" s="15" t="s">
        <v>319</v>
      </c>
      <c r="F183" s="15" t="s">
        <v>570</v>
      </c>
      <c r="G183" s="15" t="s">
        <v>23</v>
      </c>
      <c r="H183" s="15" t="s">
        <v>24</v>
      </c>
      <c r="I183" s="15" t="s">
        <v>571</v>
      </c>
      <c r="J183" s="15" t="s">
        <v>572</v>
      </c>
      <c r="K183" s="16" t="s">
        <v>259</v>
      </c>
      <c r="L183" s="15" t="s">
        <v>259</v>
      </c>
      <c r="M183" s="15">
        <v>2020</v>
      </c>
      <c r="N183" s="30">
        <v>70000000</v>
      </c>
      <c r="Q183" s="20">
        <v>182</v>
      </c>
    </row>
    <row r="184" spans="1:17" ht="45" x14ac:dyDescent="0.25">
      <c r="A184" s="31">
        <v>183</v>
      </c>
      <c r="B184" s="17" t="s">
        <v>255</v>
      </c>
      <c r="C184" s="17" t="s">
        <v>43</v>
      </c>
      <c r="D184" s="17" t="s">
        <v>573</v>
      </c>
      <c r="E184" s="17" t="s">
        <v>256</v>
      </c>
      <c r="F184" s="17" t="s">
        <v>574</v>
      </c>
      <c r="G184" s="17" t="s">
        <v>24</v>
      </c>
      <c r="H184" s="17" t="s">
        <v>37</v>
      </c>
      <c r="I184" s="17" t="s">
        <v>575</v>
      </c>
      <c r="J184" s="17" t="s">
        <v>576</v>
      </c>
      <c r="K184" s="18" t="s">
        <v>259</v>
      </c>
      <c r="L184" s="17" t="s">
        <v>259</v>
      </c>
      <c r="M184" s="17">
        <v>2018</v>
      </c>
      <c r="N184" s="32">
        <v>59000000</v>
      </c>
      <c r="Q184" s="20">
        <v>183</v>
      </c>
    </row>
    <row r="185" spans="1:17" ht="45" x14ac:dyDescent="0.25">
      <c r="A185" s="29">
        <v>184</v>
      </c>
      <c r="B185" s="15" t="s">
        <v>255</v>
      </c>
      <c r="C185" s="15" t="s">
        <v>86</v>
      </c>
      <c r="D185" s="15" t="s">
        <v>577</v>
      </c>
      <c r="E185" s="15" t="s">
        <v>261</v>
      </c>
      <c r="F185" s="15" t="s">
        <v>578</v>
      </c>
      <c r="G185" s="15" t="s">
        <v>23</v>
      </c>
      <c r="H185" s="15" t="s">
        <v>23</v>
      </c>
      <c r="I185" s="15" t="s">
        <v>579</v>
      </c>
      <c r="J185" s="15" t="s">
        <v>580</v>
      </c>
      <c r="K185" s="16" t="s">
        <v>259</v>
      </c>
      <c r="L185" s="15" t="s">
        <v>259</v>
      </c>
      <c r="M185" s="15">
        <v>2018</v>
      </c>
      <c r="N185" s="30">
        <v>65000000</v>
      </c>
      <c r="Q185" s="20">
        <v>184</v>
      </c>
    </row>
    <row r="186" spans="1:17" ht="30" x14ac:dyDescent="0.25">
      <c r="A186" s="31">
        <v>185</v>
      </c>
      <c r="B186" s="17" t="s">
        <v>255</v>
      </c>
      <c r="C186" s="17" t="s">
        <v>108</v>
      </c>
      <c r="D186" s="17" t="s">
        <v>581</v>
      </c>
      <c r="E186" s="17" t="s">
        <v>256</v>
      </c>
      <c r="F186" s="17" t="s">
        <v>582</v>
      </c>
      <c r="G186" s="17" t="s">
        <v>88</v>
      </c>
      <c r="H186" s="17" t="s">
        <v>36</v>
      </c>
      <c r="I186" s="17" t="s">
        <v>583</v>
      </c>
      <c r="J186" s="17" t="s">
        <v>584</v>
      </c>
      <c r="K186" s="18" t="s">
        <v>259</v>
      </c>
      <c r="L186" s="17" t="s">
        <v>259</v>
      </c>
      <c r="M186" s="17">
        <v>2019</v>
      </c>
      <c r="N186" s="32">
        <v>73000000</v>
      </c>
      <c r="Q186" s="20">
        <v>185</v>
      </c>
    </row>
    <row r="187" spans="1:17" ht="30" x14ac:dyDescent="0.25">
      <c r="A187" s="29">
        <v>186</v>
      </c>
      <c r="B187" s="15" t="s">
        <v>255</v>
      </c>
      <c r="C187" s="15" t="s">
        <v>71</v>
      </c>
      <c r="D187" s="15" t="s">
        <v>105</v>
      </c>
      <c r="E187" s="15" t="s">
        <v>256</v>
      </c>
      <c r="F187" s="15" t="s">
        <v>585</v>
      </c>
      <c r="G187" s="15" t="s">
        <v>75</v>
      </c>
      <c r="H187" s="15" t="s">
        <v>130</v>
      </c>
      <c r="I187" s="15" t="s">
        <v>586</v>
      </c>
      <c r="J187" s="15" t="s">
        <v>587</v>
      </c>
      <c r="K187" s="16" t="s">
        <v>259</v>
      </c>
      <c r="L187" s="15" t="s">
        <v>259</v>
      </c>
      <c r="M187" s="15">
        <v>2019</v>
      </c>
      <c r="N187" s="30">
        <v>59000000</v>
      </c>
      <c r="Q187" s="20">
        <v>186</v>
      </c>
    </row>
    <row r="188" spans="1:17" ht="30" x14ac:dyDescent="0.25">
      <c r="A188" s="31">
        <v>187</v>
      </c>
      <c r="B188" s="17" t="s">
        <v>255</v>
      </c>
      <c r="C188" s="17" t="s">
        <v>8</v>
      </c>
      <c r="D188" s="17" t="s">
        <v>588</v>
      </c>
      <c r="E188" s="17" t="s">
        <v>344</v>
      </c>
      <c r="F188" s="17" t="s">
        <v>589</v>
      </c>
      <c r="G188" s="17" t="s">
        <v>33</v>
      </c>
      <c r="H188" s="17" t="s">
        <v>12</v>
      </c>
      <c r="I188" s="17" t="s">
        <v>590</v>
      </c>
      <c r="J188" s="17" t="s">
        <v>751</v>
      </c>
      <c r="K188" s="18" t="s">
        <v>259</v>
      </c>
      <c r="L188" s="17" t="s">
        <v>259</v>
      </c>
      <c r="M188" s="17">
        <v>2020</v>
      </c>
      <c r="N188" s="32">
        <v>66000000</v>
      </c>
      <c r="Q188" s="20">
        <v>187</v>
      </c>
    </row>
    <row r="189" spans="1:17" ht="45" x14ac:dyDescent="0.25">
      <c r="A189" s="29">
        <v>188</v>
      </c>
      <c r="B189" s="15" t="s">
        <v>255</v>
      </c>
      <c r="C189" s="15" t="s">
        <v>65</v>
      </c>
      <c r="D189" s="15" t="s">
        <v>364</v>
      </c>
      <c r="E189" s="15" t="s">
        <v>256</v>
      </c>
      <c r="F189" s="15" t="s">
        <v>591</v>
      </c>
      <c r="G189" s="15" t="s">
        <v>82</v>
      </c>
      <c r="H189" s="15" t="s">
        <v>55</v>
      </c>
      <c r="I189" s="15" t="s">
        <v>592</v>
      </c>
      <c r="J189" s="15" t="s">
        <v>593</v>
      </c>
      <c r="K189" s="16" t="s">
        <v>259</v>
      </c>
      <c r="L189" s="15" t="s">
        <v>259</v>
      </c>
      <c r="M189" s="15">
        <v>2017</v>
      </c>
      <c r="N189" s="30">
        <v>58000000</v>
      </c>
      <c r="Q189" s="20">
        <v>188</v>
      </c>
    </row>
    <row r="190" spans="1:17" ht="45" x14ac:dyDescent="0.25">
      <c r="A190" s="31">
        <v>189</v>
      </c>
      <c r="B190" s="17" t="s">
        <v>255</v>
      </c>
      <c r="C190" s="17" t="s">
        <v>240</v>
      </c>
      <c r="D190" s="17" t="s">
        <v>530</v>
      </c>
      <c r="E190" s="17" t="s">
        <v>256</v>
      </c>
      <c r="F190" s="17" t="s">
        <v>594</v>
      </c>
      <c r="G190" s="17" t="s">
        <v>33</v>
      </c>
      <c r="H190" s="17" t="s">
        <v>28</v>
      </c>
      <c r="I190" s="17" t="s">
        <v>595</v>
      </c>
      <c r="J190" s="17" t="s">
        <v>596</v>
      </c>
      <c r="K190" s="18" t="s">
        <v>259</v>
      </c>
      <c r="L190" s="17" t="s">
        <v>259</v>
      </c>
      <c r="M190" s="17">
        <v>2018</v>
      </c>
      <c r="N190" s="32">
        <v>72000000</v>
      </c>
      <c r="Q190" s="20">
        <v>189</v>
      </c>
    </row>
    <row r="191" spans="1:17" ht="30" x14ac:dyDescent="0.25">
      <c r="A191" s="29">
        <v>190</v>
      </c>
      <c r="B191" s="15" t="s">
        <v>255</v>
      </c>
      <c r="C191" s="15" t="s">
        <v>50</v>
      </c>
      <c r="D191" s="15" t="s">
        <v>597</v>
      </c>
      <c r="E191" s="15" t="s">
        <v>275</v>
      </c>
      <c r="F191" s="15" t="s">
        <v>598</v>
      </c>
      <c r="G191" s="15" t="s">
        <v>82</v>
      </c>
      <c r="H191" s="15" t="s">
        <v>115</v>
      </c>
      <c r="I191" s="15" t="s">
        <v>599</v>
      </c>
      <c r="J191" s="15" t="s">
        <v>600</v>
      </c>
      <c r="K191" s="16" t="s">
        <v>259</v>
      </c>
      <c r="L191" s="15" t="s">
        <v>259</v>
      </c>
      <c r="M191" s="15">
        <v>2020</v>
      </c>
      <c r="N191" s="30">
        <v>52000000</v>
      </c>
      <c r="Q191" s="20">
        <v>190</v>
      </c>
    </row>
    <row r="192" spans="1:17" ht="30" x14ac:dyDescent="0.25">
      <c r="A192" s="31">
        <v>191</v>
      </c>
      <c r="B192" s="17" t="s">
        <v>255</v>
      </c>
      <c r="C192" s="17" t="s">
        <v>8</v>
      </c>
      <c r="D192" s="17" t="s">
        <v>601</v>
      </c>
      <c r="E192" s="17" t="s">
        <v>319</v>
      </c>
      <c r="F192" s="17" t="s">
        <v>602</v>
      </c>
      <c r="G192" s="17" t="s">
        <v>55</v>
      </c>
      <c r="H192" s="17" t="s">
        <v>29</v>
      </c>
      <c r="I192" s="17" t="s">
        <v>603</v>
      </c>
      <c r="J192" s="17" t="s">
        <v>604</v>
      </c>
      <c r="K192" s="18" t="s">
        <v>259</v>
      </c>
      <c r="L192" s="17" t="s">
        <v>259</v>
      </c>
      <c r="M192" s="17">
        <v>2018</v>
      </c>
      <c r="N192" s="32">
        <v>70000000</v>
      </c>
      <c r="Q192" s="20">
        <v>191</v>
      </c>
    </row>
    <row r="193" spans="1:17" ht="30" x14ac:dyDescent="0.25">
      <c r="A193" s="29">
        <v>192</v>
      </c>
      <c r="B193" s="15" t="s">
        <v>255</v>
      </c>
      <c r="C193" s="15" t="s">
        <v>86</v>
      </c>
      <c r="D193" s="15" t="s">
        <v>605</v>
      </c>
      <c r="E193" s="15" t="s">
        <v>256</v>
      </c>
      <c r="F193" s="15" t="s">
        <v>606</v>
      </c>
      <c r="G193" s="15" t="s">
        <v>75</v>
      </c>
      <c r="H193" s="15" t="s">
        <v>37</v>
      </c>
      <c r="I193" s="15" t="s">
        <v>607</v>
      </c>
      <c r="J193" s="15" t="s">
        <v>608</v>
      </c>
      <c r="K193" s="16" t="s">
        <v>259</v>
      </c>
      <c r="L193" s="15" t="s">
        <v>259</v>
      </c>
      <c r="M193" s="15">
        <v>2019</v>
      </c>
      <c r="N193" s="30">
        <v>61000000</v>
      </c>
      <c r="Q193" s="20">
        <v>192</v>
      </c>
    </row>
    <row r="194" spans="1:17" ht="45" x14ac:dyDescent="0.25">
      <c r="A194" s="31">
        <v>193</v>
      </c>
      <c r="B194" s="17" t="s">
        <v>255</v>
      </c>
      <c r="C194" s="17" t="s">
        <v>71</v>
      </c>
      <c r="D194" s="17" t="s">
        <v>335</v>
      </c>
      <c r="E194" s="17" t="s">
        <v>261</v>
      </c>
      <c r="F194" s="17" t="s">
        <v>609</v>
      </c>
      <c r="G194" s="17" t="s">
        <v>124</v>
      </c>
      <c r="H194" s="17" t="s">
        <v>37</v>
      </c>
      <c r="I194" s="17" t="s">
        <v>610</v>
      </c>
      <c r="J194" s="17" t="s">
        <v>611</v>
      </c>
      <c r="K194" s="18" t="s">
        <v>259</v>
      </c>
      <c r="L194" s="17" t="s">
        <v>259</v>
      </c>
      <c r="M194" s="17">
        <v>2017</v>
      </c>
      <c r="N194" s="32">
        <v>72000000</v>
      </c>
      <c r="Q194" s="20">
        <v>193</v>
      </c>
    </row>
    <row r="195" spans="1:17" ht="45" x14ac:dyDescent="0.25">
      <c r="A195" s="29">
        <v>194</v>
      </c>
      <c r="B195" s="15" t="s">
        <v>255</v>
      </c>
      <c r="C195" s="15" t="s">
        <v>57</v>
      </c>
      <c r="D195" s="15" t="s">
        <v>101</v>
      </c>
      <c r="E195" s="15" t="s">
        <v>261</v>
      </c>
      <c r="F195" s="15" t="s">
        <v>612</v>
      </c>
      <c r="G195" s="15" t="s">
        <v>52</v>
      </c>
      <c r="H195" s="15" t="s">
        <v>82</v>
      </c>
      <c r="I195" s="15" t="s">
        <v>613</v>
      </c>
      <c r="J195" s="15" t="s">
        <v>614</v>
      </c>
      <c r="K195" s="16" t="s">
        <v>259</v>
      </c>
      <c r="L195" s="15" t="s">
        <v>259</v>
      </c>
      <c r="M195" s="15">
        <v>2017</v>
      </c>
      <c r="N195" s="30">
        <v>66000000</v>
      </c>
      <c r="Q195" s="20">
        <v>194</v>
      </c>
    </row>
    <row r="196" spans="1:17" ht="45" x14ac:dyDescent="0.25">
      <c r="A196" s="31">
        <v>195</v>
      </c>
      <c r="B196" s="17" t="s">
        <v>255</v>
      </c>
      <c r="C196" s="17" t="s">
        <v>65</v>
      </c>
      <c r="D196" s="17" t="s">
        <v>615</v>
      </c>
      <c r="E196" s="17" t="s">
        <v>256</v>
      </c>
      <c r="F196" s="17" t="s">
        <v>616</v>
      </c>
      <c r="G196" s="17" t="s">
        <v>11</v>
      </c>
      <c r="H196" s="17" t="s">
        <v>82</v>
      </c>
      <c r="I196" s="17" t="s">
        <v>617</v>
      </c>
      <c r="J196" s="17" t="s">
        <v>618</v>
      </c>
      <c r="K196" s="18" t="s">
        <v>259</v>
      </c>
      <c r="L196" s="17" t="s">
        <v>259</v>
      </c>
      <c r="M196" s="17">
        <v>2018</v>
      </c>
      <c r="N196" s="32">
        <v>50000000</v>
      </c>
      <c r="Q196" s="20">
        <v>195</v>
      </c>
    </row>
    <row r="197" spans="1:17" ht="30" x14ac:dyDescent="0.25">
      <c r="A197" s="29">
        <v>196</v>
      </c>
      <c r="B197" s="15" t="s">
        <v>255</v>
      </c>
      <c r="C197" s="15" t="s">
        <v>71</v>
      </c>
      <c r="D197" s="15" t="s">
        <v>468</v>
      </c>
      <c r="E197" s="15" t="s">
        <v>275</v>
      </c>
      <c r="F197" s="15" t="s">
        <v>619</v>
      </c>
      <c r="G197" s="15" t="s">
        <v>124</v>
      </c>
      <c r="H197" s="15" t="s">
        <v>63</v>
      </c>
      <c r="I197" s="15" t="s">
        <v>620</v>
      </c>
      <c r="J197" s="15" t="s">
        <v>621</v>
      </c>
      <c r="K197" s="16" t="s">
        <v>259</v>
      </c>
      <c r="L197" s="15" t="s">
        <v>259</v>
      </c>
      <c r="M197" s="15">
        <v>2019</v>
      </c>
      <c r="N197" s="30">
        <v>75000000</v>
      </c>
      <c r="Q197" s="20">
        <v>196</v>
      </c>
    </row>
    <row r="198" spans="1:17" x14ac:dyDescent="0.25">
      <c r="A198" s="31">
        <v>197</v>
      </c>
      <c r="B198" s="17" t="s">
        <v>255</v>
      </c>
      <c r="C198" s="17" t="s">
        <v>108</v>
      </c>
      <c r="D198" s="17" t="s">
        <v>206</v>
      </c>
      <c r="E198" s="17" t="s">
        <v>266</v>
      </c>
      <c r="F198" s="17" t="s">
        <v>622</v>
      </c>
      <c r="G198" s="17" t="s">
        <v>130</v>
      </c>
      <c r="H198" s="17" t="s">
        <v>37</v>
      </c>
      <c r="I198" s="17" t="s">
        <v>623</v>
      </c>
      <c r="J198" s="17" t="s">
        <v>624</v>
      </c>
      <c r="K198" s="18" t="s">
        <v>259</v>
      </c>
      <c r="L198" s="17" t="s">
        <v>259</v>
      </c>
      <c r="M198" s="17">
        <v>2020</v>
      </c>
      <c r="N198" s="32">
        <v>55000000</v>
      </c>
      <c r="Q198" s="20">
        <v>197</v>
      </c>
    </row>
    <row r="199" spans="1:17" ht="45" x14ac:dyDescent="0.25">
      <c r="A199" s="29">
        <v>198</v>
      </c>
      <c r="B199" s="15" t="s">
        <v>255</v>
      </c>
      <c r="C199" s="15" t="s">
        <v>108</v>
      </c>
      <c r="D199" s="15" t="s">
        <v>274</v>
      </c>
      <c r="E199" s="15" t="s">
        <v>256</v>
      </c>
      <c r="F199" s="15" t="s">
        <v>625</v>
      </c>
      <c r="G199" s="15" t="s">
        <v>106</v>
      </c>
      <c r="H199" s="15" t="s">
        <v>33</v>
      </c>
      <c r="I199" s="15" t="s">
        <v>626</v>
      </c>
      <c r="J199" s="15" t="s">
        <v>627</v>
      </c>
      <c r="K199" s="16" t="s">
        <v>259</v>
      </c>
      <c r="L199" s="15" t="s">
        <v>259</v>
      </c>
      <c r="M199" s="15">
        <v>2019</v>
      </c>
      <c r="N199" s="30">
        <v>62000000</v>
      </c>
      <c r="Q199" s="20">
        <v>198</v>
      </c>
    </row>
    <row r="200" spans="1:17" ht="30" x14ac:dyDescent="0.25">
      <c r="A200" s="31">
        <v>199</v>
      </c>
      <c r="B200" s="17" t="s">
        <v>255</v>
      </c>
      <c r="C200" s="17" t="s">
        <v>14</v>
      </c>
      <c r="D200" s="17" t="s">
        <v>54</v>
      </c>
      <c r="E200" s="17" t="s">
        <v>256</v>
      </c>
      <c r="F200" s="17" t="s">
        <v>628</v>
      </c>
      <c r="G200" s="17" t="s">
        <v>82</v>
      </c>
      <c r="H200" s="17" t="s">
        <v>28</v>
      </c>
      <c r="I200" s="17" t="s">
        <v>629</v>
      </c>
      <c r="J200" s="17" t="s">
        <v>630</v>
      </c>
      <c r="K200" s="18" t="s">
        <v>259</v>
      </c>
      <c r="L200" s="17" t="s">
        <v>259</v>
      </c>
      <c r="M200" s="17">
        <v>2018</v>
      </c>
      <c r="N200" s="32">
        <v>67000000</v>
      </c>
      <c r="Q200" s="20">
        <v>199</v>
      </c>
    </row>
    <row r="201" spans="1:17" ht="30.75" thickBot="1" x14ac:dyDescent="0.3">
      <c r="A201" s="33">
        <v>200</v>
      </c>
      <c r="B201" s="34" t="s">
        <v>255</v>
      </c>
      <c r="C201" s="34" t="s">
        <v>65</v>
      </c>
      <c r="D201" s="34" t="s">
        <v>631</v>
      </c>
      <c r="E201" s="34" t="s">
        <v>266</v>
      </c>
      <c r="F201" s="34" t="s">
        <v>632</v>
      </c>
      <c r="G201" s="34" t="s">
        <v>33</v>
      </c>
      <c r="H201" s="34" t="s">
        <v>52</v>
      </c>
      <c r="I201" s="34" t="s">
        <v>633</v>
      </c>
      <c r="J201" s="34" t="s">
        <v>634</v>
      </c>
      <c r="K201" s="35" t="s">
        <v>259</v>
      </c>
      <c r="L201" s="34" t="s">
        <v>259</v>
      </c>
      <c r="M201" s="34">
        <v>2019</v>
      </c>
      <c r="N201" s="36">
        <v>62000000</v>
      </c>
      <c r="Q201" s="20">
        <v>200</v>
      </c>
    </row>
  </sheetData>
  <autoFilter ref="A1:N1"/>
  <conditionalFormatting sqref="D202:D1048576">
    <cfRule type="duplicateValues" dxfId="0" priority="2"/>
  </conditionalFormatting>
  <pageMargins left="0.7" right="0.7" top="0.75" bottom="0.75" header="0.3" footer="0.3"/>
  <pageSetup orientation="portrait" r:id="rId1"/>
  <ignoredErrors>
    <ignoredError sqref="I2:I201" numberStoredAsText="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Pen"/>
  <dimension ref="A1:AB60"/>
  <sheetViews>
    <sheetView zoomScale="56" zoomScaleNormal="100" workbookViewId="0">
      <selection activeCell="C2" sqref="C2"/>
    </sheetView>
  </sheetViews>
  <sheetFormatPr defaultRowHeight="15" x14ac:dyDescent="0.25"/>
  <cols>
    <col min="1" max="1" width="19.5703125" customWidth="1"/>
    <col min="2" max="2" width="34.5703125" customWidth="1"/>
    <col min="3" max="3" width="11" customWidth="1"/>
    <col min="4" max="5" width="19.5703125" customWidth="1"/>
    <col min="6" max="6" width="21.28515625" customWidth="1"/>
    <col min="11" max="11" width="19.5703125" customWidth="1"/>
    <col min="12" max="12" width="36.140625" customWidth="1"/>
    <col min="19" max="19" width="41.28515625" customWidth="1"/>
    <col min="20" max="20" width="34.5703125" customWidth="1"/>
    <col min="23" max="23" width="19.5703125" customWidth="1"/>
    <col min="24" max="24" width="34.5703125" customWidth="1"/>
    <col min="27" max="27" width="19.5703125" customWidth="1"/>
    <col min="28" max="28" width="21.28515625" customWidth="1"/>
  </cols>
  <sheetData>
    <row r="1" spans="1:28" x14ac:dyDescent="0.25">
      <c r="A1" s="1" t="s">
        <v>755</v>
      </c>
      <c r="B1" s="56" t="s">
        <v>7</v>
      </c>
      <c r="E1" s="1" t="s">
        <v>755</v>
      </c>
      <c r="F1" s="56" t="s">
        <v>7</v>
      </c>
      <c r="W1" s="1" t="s">
        <v>755</v>
      </c>
      <c r="X1" s="56" t="s">
        <v>7</v>
      </c>
      <c r="AA1" s="1" t="s">
        <v>755</v>
      </c>
      <c r="AB1" s="56" t="s">
        <v>7</v>
      </c>
    </row>
    <row r="2" spans="1:28" x14ac:dyDescent="0.25">
      <c r="A2" s="1" t="s">
        <v>753</v>
      </c>
      <c r="B2" s="56" t="s">
        <v>869</v>
      </c>
      <c r="S2" s="1" t="s">
        <v>755</v>
      </c>
      <c r="T2" s="56" t="s">
        <v>7</v>
      </c>
    </row>
    <row r="3" spans="1:28" x14ac:dyDescent="0.25">
      <c r="E3" s="1" t="s">
        <v>637</v>
      </c>
      <c r="F3" t="s">
        <v>640</v>
      </c>
      <c r="W3" s="1" t="s">
        <v>637</v>
      </c>
      <c r="X3" t="s">
        <v>639</v>
      </c>
      <c r="AA3" s="1" t="s">
        <v>637</v>
      </c>
      <c r="AB3" t="s">
        <v>640</v>
      </c>
    </row>
    <row r="4" spans="1:28" x14ac:dyDescent="0.25">
      <c r="A4" s="1" t="s">
        <v>637</v>
      </c>
      <c r="B4" t="s">
        <v>865</v>
      </c>
      <c r="E4" s="2">
        <v>2017</v>
      </c>
      <c r="F4" s="3">
        <v>1658000000</v>
      </c>
      <c r="S4" s="1" t="s">
        <v>637</v>
      </c>
      <c r="T4" t="s">
        <v>872</v>
      </c>
      <c r="W4" s="2" t="s">
        <v>10</v>
      </c>
      <c r="X4" s="3">
        <v>4</v>
      </c>
      <c r="AA4" s="2">
        <v>2017</v>
      </c>
      <c r="AB4" s="3">
        <v>146000000</v>
      </c>
    </row>
    <row r="5" spans="1:28" x14ac:dyDescent="0.25">
      <c r="A5" s="2" t="s">
        <v>18</v>
      </c>
      <c r="B5" s="3">
        <v>5</v>
      </c>
      <c r="E5" s="2">
        <v>2018</v>
      </c>
      <c r="F5" s="3">
        <v>1618000000</v>
      </c>
      <c r="S5" s="2" t="s">
        <v>247</v>
      </c>
      <c r="T5" s="3">
        <v>1</v>
      </c>
      <c r="W5" s="2" t="s">
        <v>97</v>
      </c>
      <c r="X5" s="3">
        <v>1</v>
      </c>
      <c r="AA5" s="2">
        <v>2018</v>
      </c>
      <c r="AB5" s="3">
        <v>73000000</v>
      </c>
    </row>
    <row r="6" spans="1:28" x14ac:dyDescent="0.25">
      <c r="A6" s="2" t="s">
        <v>65</v>
      </c>
      <c r="B6" s="3">
        <v>1</v>
      </c>
      <c r="E6" s="2">
        <v>2019</v>
      </c>
      <c r="F6" s="3">
        <v>1218000000</v>
      </c>
      <c r="S6" s="2" t="s">
        <v>19</v>
      </c>
      <c r="T6" s="3">
        <v>1</v>
      </c>
      <c r="W6" s="2" t="s">
        <v>638</v>
      </c>
      <c r="X6" s="3">
        <v>5</v>
      </c>
      <c r="AA6" s="2">
        <v>2019</v>
      </c>
      <c r="AB6" s="3">
        <v>72000000</v>
      </c>
    </row>
    <row r="7" spans="1:28" x14ac:dyDescent="0.25">
      <c r="A7" s="2" t="s">
        <v>31</v>
      </c>
      <c r="B7" s="3">
        <v>9</v>
      </c>
      <c r="E7" s="2">
        <v>2020</v>
      </c>
      <c r="F7" s="3">
        <v>1738000000</v>
      </c>
      <c r="S7" s="2" t="s">
        <v>84</v>
      </c>
      <c r="T7" s="3">
        <v>2</v>
      </c>
      <c r="AA7" s="2">
        <v>2020</v>
      </c>
      <c r="AB7" s="3">
        <v>61000000</v>
      </c>
    </row>
    <row r="8" spans="1:28" x14ac:dyDescent="0.25">
      <c r="A8" s="2" t="s">
        <v>8</v>
      </c>
      <c r="B8" s="3">
        <v>15</v>
      </c>
      <c r="E8" s="2" t="s">
        <v>638</v>
      </c>
      <c r="F8" s="3">
        <v>6232000000</v>
      </c>
      <c r="S8" s="2" t="s">
        <v>214</v>
      </c>
      <c r="T8" s="3">
        <v>1</v>
      </c>
      <c r="AA8" s="2" t="s">
        <v>638</v>
      </c>
      <c r="AB8" s="3">
        <v>352000000</v>
      </c>
    </row>
    <row r="9" spans="1:28" x14ac:dyDescent="0.25">
      <c r="A9" s="2" t="s">
        <v>60</v>
      </c>
      <c r="B9" s="3">
        <v>9</v>
      </c>
      <c r="S9" s="2" t="s">
        <v>638</v>
      </c>
      <c r="T9" s="3">
        <v>5</v>
      </c>
    </row>
    <row r="10" spans="1:28" x14ac:dyDescent="0.25">
      <c r="A10" s="2" t="s">
        <v>103</v>
      </c>
      <c r="B10" s="3">
        <v>2</v>
      </c>
    </row>
    <row r="11" spans="1:28" x14ac:dyDescent="0.25">
      <c r="A11" s="2" t="s">
        <v>57</v>
      </c>
      <c r="B11" s="3">
        <v>4</v>
      </c>
    </row>
    <row r="12" spans="1:28" x14ac:dyDescent="0.25">
      <c r="A12" s="2" t="s">
        <v>14</v>
      </c>
      <c r="B12" s="3">
        <v>11</v>
      </c>
    </row>
    <row r="13" spans="1:28" x14ac:dyDescent="0.25">
      <c r="A13" s="2" t="s">
        <v>86</v>
      </c>
      <c r="B13" s="3">
        <v>4</v>
      </c>
    </row>
    <row r="14" spans="1:28" x14ac:dyDescent="0.25">
      <c r="A14" s="2" t="s">
        <v>108</v>
      </c>
      <c r="B14" s="3">
        <v>7</v>
      </c>
    </row>
    <row r="15" spans="1:28" x14ac:dyDescent="0.25">
      <c r="A15" s="2" t="s">
        <v>43</v>
      </c>
      <c r="B15" s="3">
        <v>3</v>
      </c>
    </row>
    <row r="16" spans="1:28" x14ac:dyDescent="0.25">
      <c r="A16" s="2" t="s">
        <v>50</v>
      </c>
      <c r="B16" s="3">
        <v>3</v>
      </c>
      <c r="E16" s="1" t="s">
        <v>755</v>
      </c>
      <c r="F16" s="56" t="s">
        <v>7</v>
      </c>
    </row>
    <row r="17" spans="1:28" x14ac:dyDescent="0.25">
      <c r="A17" s="2" t="s">
        <v>240</v>
      </c>
      <c r="B17" s="3">
        <v>2</v>
      </c>
    </row>
    <row r="18" spans="1:28" x14ac:dyDescent="0.25">
      <c r="A18" s="2" t="s">
        <v>46</v>
      </c>
      <c r="B18" s="3">
        <v>1</v>
      </c>
      <c r="E18" s="1" t="s">
        <v>637</v>
      </c>
      <c r="F18" t="s">
        <v>870</v>
      </c>
    </row>
    <row r="19" spans="1:28" x14ac:dyDescent="0.25">
      <c r="A19" s="2" t="s">
        <v>71</v>
      </c>
      <c r="B19" s="3">
        <v>24</v>
      </c>
      <c r="E19" s="2">
        <v>2017</v>
      </c>
      <c r="F19" s="3">
        <v>26</v>
      </c>
    </row>
    <row r="20" spans="1:28" x14ac:dyDescent="0.25">
      <c r="A20" s="2" t="s">
        <v>638</v>
      </c>
      <c r="B20" s="3">
        <v>100</v>
      </c>
      <c r="E20" s="2">
        <v>2018</v>
      </c>
      <c r="F20" s="3">
        <v>26</v>
      </c>
    </row>
    <row r="21" spans="1:28" x14ac:dyDescent="0.25">
      <c r="E21" s="2">
        <v>2019</v>
      </c>
      <c r="F21" s="3">
        <v>20</v>
      </c>
    </row>
    <row r="22" spans="1:28" x14ac:dyDescent="0.25">
      <c r="A22" s="1" t="s">
        <v>755</v>
      </c>
      <c r="B22" s="56" t="s">
        <v>7</v>
      </c>
      <c r="E22" s="2">
        <v>2020</v>
      </c>
      <c r="F22" s="3">
        <v>28</v>
      </c>
    </row>
    <row r="23" spans="1:28" x14ac:dyDescent="0.25">
      <c r="A23" s="1" t="s">
        <v>753</v>
      </c>
      <c r="B23" s="56" t="s">
        <v>869</v>
      </c>
      <c r="E23" s="2" t="s">
        <v>638</v>
      </c>
      <c r="F23" s="3">
        <v>100</v>
      </c>
    </row>
    <row r="24" spans="1:28" x14ac:dyDescent="0.25">
      <c r="AA24" s="1" t="s">
        <v>755</v>
      </c>
      <c r="AB24" s="56" t="s">
        <v>7</v>
      </c>
    </row>
    <row r="25" spans="1:28" x14ac:dyDescent="0.25">
      <c r="A25" s="1" t="s">
        <v>637</v>
      </c>
      <c r="B25" t="s">
        <v>639</v>
      </c>
    </row>
    <row r="26" spans="1:28" x14ac:dyDescent="0.25">
      <c r="A26" s="2" t="s">
        <v>220</v>
      </c>
      <c r="B26" s="3">
        <v>4</v>
      </c>
      <c r="AA26" s="1" t="s">
        <v>637</v>
      </c>
      <c r="AB26" t="s">
        <v>870</v>
      </c>
    </row>
    <row r="27" spans="1:28" x14ac:dyDescent="0.25">
      <c r="A27" s="2" t="s">
        <v>635</v>
      </c>
      <c r="B27" s="3">
        <v>1</v>
      </c>
      <c r="AA27" s="2">
        <v>2017</v>
      </c>
      <c r="AB27" s="3">
        <v>2</v>
      </c>
    </row>
    <row r="28" spans="1:28" x14ac:dyDescent="0.25">
      <c r="A28" s="2" t="s">
        <v>10</v>
      </c>
      <c r="B28" s="3">
        <v>65</v>
      </c>
      <c r="W28" s="1" t="s">
        <v>755</v>
      </c>
      <c r="X28" s="56" t="s">
        <v>7</v>
      </c>
      <c r="AA28" s="2">
        <v>2018</v>
      </c>
      <c r="AB28" s="3">
        <v>1</v>
      </c>
    </row>
    <row r="29" spans="1:28" x14ac:dyDescent="0.25">
      <c r="A29" s="2" t="s">
        <v>27</v>
      </c>
      <c r="B29" s="3">
        <v>1</v>
      </c>
      <c r="AA29" s="2">
        <v>2019</v>
      </c>
      <c r="AB29" s="3">
        <v>1</v>
      </c>
    </row>
    <row r="30" spans="1:28" x14ac:dyDescent="0.25">
      <c r="A30" s="2" t="s">
        <v>129</v>
      </c>
      <c r="B30" s="3">
        <v>1</v>
      </c>
      <c r="W30" s="1" t="s">
        <v>637</v>
      </c>
      <c r="X30" t="s">
        <v>864</v>
      </c>
      <c r="AA30" s="2">
        <v>2020</v>
      </c>
      <c r="AB30" s="3">
        <v>1</v>
      </c>
    </row>
    <row r="31" spans="1:28" x14ac:dyDescent="0.25">
      <c r="A31" s="2" t="s">
        <v>140</v>
      </c>
      <c r="B31" s="3">
        <v>4</v>
      </c>
      <c r="W31" s="2" t="s">
        <v>636</v>
      </c>
      <c r="X31" s="3">
        <v>3</v>
      </c>
      <c r="AA31" s="2" t="s">
        <v>638</v>
      </c>
      <c r="AB31" s="3">
        <v>5</v>
      </c>
    </row>
    <row r="32" spans="1:28" x14ac:dyDescent="0.25">
      <c r="A32" s="2" t="s">
        <v>173</v>
      </c>
      <c r="B32" s="3">
        <v>5</v>
      </c>
      <c r="D32" s="1" t="s">
        <v>755</v>
      </c>
      <c r="E32" s="56" t="s">
        <v>7</v>
      </c>
      <c r="W32" s="2" t="s">
        <v>645</v>
      </c>
      <c r="X32" s="3">
        <v>2</v>
      </c>
    </row>
    <row r="33" spans="1:24" x14ac:dyDescent="0.25">
      <c r="A33" s="2" t="s">
        <v>62</v>
      </c>
      <c r="B33" s="3">
        <v>14</v>
      </c>
      <c r="W33" s="2" t="s">
        <v>638</v>
      </c>
      <c r="X33" s="3">
        <v>5</v>
      </c>
    </row>
    <row r="34" spans="1:24" x14ac:dyDescent="0.25">
      <c r="A34" s="2" t="s">
        <v>97</v>
      </c>
      <c r="B34" s="3">
        <v>5</v>
      </c>
      <c r="D34" s="1" t="s">
        <v>637</v>
      </c>
      <c r="E34" t="s">
        <v>870</v>
      </c>
    </row>
    <row r="35" spans="1:24" x14ac:dyDescent="0.25">
      <c r="A35" s="2" t="s">
        <v>638</v>
      </c>
      <c r="B35" s="3">
        <v>100</v>
      </c>
      <c r="D35" s="2" t="s">
        <v>636</v>
      </c>
      <c r="E35" s="3">
        <v>52</v>
      </c>
    </row>
    <row r="36" spans="1:24" x14ac:dyDescent="0.25">
      <c r="D36" s="2" t="s">
        <v>645</v>
      </c>
      <c r="E36" s="3">
        <v>48</v>
      </c>
    </row>
    <row r="37" spans="1:24" x14ac:dyDescent="0.25">
      <c r="A37" s="1" t="s">
        <v>755</v>
      </c>
      <c r="B37" s="56" t="s">
        <v>7</v>
      </c>
      <c r="D37" s="2" t="s">
        <v>638</v>
      </c>
      <c r="E37" s="3">
        <v>100</v>
      </c>
    </row>
    <row r="38" spans="1:24" x14ac:dyDescent="0.25">
      <c r="A38" s="1" t="s">
        <v>753</v>
      </c>
      <c r="B38" s="56" t="s">
        <v>869</v>
      </c>
    </row>
    <row r="40" spans="1:24" x14ac:dyDescent="0.25">
      <c r="A40" s="1" t="s">
        <v>637</v>
      </c>
      <c r="B40" t="s">
        <v>864</v>
      </c>
    </row>
    <row r="41" spans="1:24" x14ac:dyDescent="0.25">
      <c r="A41" s="2" t="s">
        <v>636</v>
      </c>
      <c r="B41" s="3">
        <v>52</v>
      </c>
    </row>
    <row r="42" spans="1:24" x14ac:dyDescent="0.25">
      <c r="A42" s="2" t="s">
        <v>645</v>
      </c>
      <c r="B42" s="3">
        <v>48</v>
      </c>
    </row>
    <row r="43" spans="1:24" x14ac:dyDescent="0.25">
      <c r="A43" s="2" t="s">
        <v>638</v>
      </c>
      <c r="B43" s="3">
        <v>100</v>
      </c>
    </row>
    <row r="46" spans="1:24" x14ac:dyDescent="0.25">
      <c r="A46" s="1" t="s">
        <v>755</v>
      </c>
      <c r="B46" s="56" t="s">
        <v>7</v>
      </c>
    </row>
    <row r="48" spans="1:24" x14ac:dyDescent="0.25">
      <c r="A48" s="1" t="s">
        <v>637</v>
      </c>
      <c r="B48" t="s">
        <v>866</v>
      </c>
    </row>
    <row r="49" spans="1:12" x14ac:dyDescent="0.25">
      <c r="A49" s="2">
        <v>2019</v>
      </c>
      <c r="B49" s="3">
        <v>20</v>
      </c>
      <c r="K49" s="1" t="s">
        <v>755</v>
      </c>
      <c r="L49" s="56" t="s">
        <v>869</v>
      </c>
    </row>
    <row r="50" spans="1:12" x14ac:dyDescent="0.25">
      <c r="A50" s="2" t="s">
        <v>638</v>
      </c>
      <c r="B50" s="3">
        <v>20</v>
      </c>
    </row>
    <row r="51" spans="1:12" x14ac:dyDescent="0.25">
      <c r="K51" s="1" t="s">
        <v>637</v>
      </c>
      <c r="L51" t="s">
        <v>640</v>
      </c>
    </row>
    <row r="52" spans="1:12" x14ac:dyDescent="0.25">
      <c r="K52" s="2">
        <v>2017</v>
      </c>
      <c r="L52" s="3">
        <v>2838000000</v>
      </c>
    </row>
    <row r="53" spans="1:12" x14ac:dyDescent="0.25">
      <c r="K53" s="2">
        <v>2018</v>
      </c>
      <c r="L53" s="3">
        <v>3632000000</v>
      </c>
    </row>
    <row r="54" spans="1:12" x14ac:dyDescent="0.25">
      <c r="K54" s="2">
        <v>2019</v>
      </c>
      <c r="L54" s="3">
        <v>2669000000</v>
      </c>
    </row>
    <row r="55" spans="1:12" x14ac:dyDescent="0.25">
      <c r="K55" s="2">
        <v>2020</v>
      </c>
      <c r="L55" s="3">
        <v>3414000000</v>
      </c>
    </row>
    <row r="56" spans="1:12" x14ac:dyDescent="0.25">
      <c r="A56" s="1" t="s">
        <v>755</v>
      </c>
      <c r="B56" s="56" t="s">
        <v>7</v>
      </c>
      <c r="K56" s="2" t="s">
        <v>638</v>
      </c>
      <c r="L56" s="3">
        <v>12553000000</v>
      </c>
    </row>
    <row r="58" spans="1:12" x14ac:dyDescent="0.25">
      <c r="A58" s="1" t="s">
        <v>637</v>
      </c>
      <c r="B58" t="s">
        <v>640</v>
      </c>
    </row>
    <row r="59" spans="1:12" x14ac:dyDescent="0.25">
      <c r="A59" s="2">
        <v>2019</v>
      </c>
      <c r="B59" s="3">
        <v>1218000000</v>
      </c>
    </row>
    <row r="60" spans="1:12" x14ac:dyDescent="0.25">
      <c r="A60" s="2" t="s">
        <v>638</v>
      </c>
      <c r="B60" s="3">
        <v>1218000000</v>
      </c>
    </row>
  </sheetData>
  <pageMargins left="0.7" right="0.7" top="0.75" bottom="0.75" header="0.3" footer="0.3"/>
  <pageSetup orientation="portrait" horizontalDpi="4294967293" verticalDpi="0" r:id="rId15"/>
  <drawing r:id="rId1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Peng"/>
  <dimension ref="A1:AB41"/>
  <sheetViews>
    <sheetView topLeftCell="R1" zoomScale="84" zoomScaleNormal="70" workbookViewId="0">
      <selection activeCell="AB1" sqref="AB1"/>
    </sheetView>
  </sheetViews>
  <sheetFormatPr defaultRowHeight="15" x14ac:dyDescent="0.25"/>
  <cols>
    <col min="1" max="1" width="20.42578125" customWidth="1"/>
    <col min="2" max="2" width="26.7109375" customWidth="1"/>
    <col min="10" max="10" width="19.85546875" customWidth="1"/>
    <col min="11" max="11" width="13.42578125" customWidth="1"/>
    <col min="12" max="12" width="26.7109375" customWidth="1"/>
    <col min="13" max="13" width="36.5703125" customWidth="1"/>
    <col min="14" max="14" width="26.7109375" customWidth="1"/>
    <col min="21" max="21" width="13.42578125" customWidth="1"/>
    <col min="22" max="22" width="26.7109375" customWidth="1"/>
    <col min="27" max="27" width="13.42578125" customWidth="1"/>
    <col min="28" max="28" width="26.7109375" bestFit="1" customWidth="1"/>
  </cols>
  <sheetData>
    <row r="1" spans="1:28" x14ac:dyDescent="0.25">
      <c r="A1" s="1" t="s">
        <v>755</v>
      </c>
      <c r="B1" s="56" t="s">
        <v>255</v>
      </c>
      <c r="U1" s="1" t="s">
        <v>755</v>
      </c>
      <c r="V1" s="56" t="s">
        <v>255</v>
      </c>
      <c r="AA1" s="1" t="s">
        <v>755</v>
      </c>
      <c r="AB1" s="56" t="s">
        <v>255</v>
      </c>
    </row>
    <row r="3" spans="1:28" x14ac:dyDescent="0.25">
      <c r="A3" s="1" t="s">
        <v>637</v>
      </c>
      <c r="B3" t="s">
        <v>870</v>
      </c>
      <c r="U3" s="1" t="s">
        <v>637</v>
      </c>
      <c r="V3" t="s">
        <v>870</v>
      </c>
      <c r="AA3" s="1" t="s">
        <v>637</v>
      </c>
      <c r="AB3" t="s">
        <v>870</v>
      </c>
    </row>
    <row r="4" spans="1:28" x14ac:dyDescent="0.25">
      <c r="A4" s="2" t="s">
        <v>18</v>
      </c>
      <c r="B4" s="3">
        <v>2</v>
      </c>
      <c r="U4" s="2" t="s">
        <v>344</v>
      </c>
      <c r="V4" s="3">
        <v>1</v>
      </c>
      <c r="AA4" s="2">
        <v>2017</v>
      </c>
      <c r="AB4" s="3">
        <v>3</v>
      </c>
    </row>
    <row r="5" spans="1:28" x14ac:dyDescent="0.25">
      <c r="A5" s="2" t="s">
        <v>65</v>
      </c>
      <c r="B5" s="3">
        <v>9</v>
      </c>
      <c r="U5" s="2" t="s">
        <v>256</v>
      </c>
      <c r="V5" s="3">
        <v>4</v>
      </c>
      <c r="AA5" s="2">
        <v>2018</v>
      </c>
      <c r="AB5" s="3">
        <v>2</v>
      </c>
    </row>
    <row r="6" spans="1:28" x14ac:dyDescent="0.25">
      <c r="A6" s="2" t="s">
        <v>31</v>
      </c>
      <c r="B6" s="3">
        <v>7</v>
      </c>
      <c r="U6" s="2" t="s">
        <v>266</v>
      </c>
      <c r="V6" s="3">
        <v>2</v>
      </c>
      <c r="AA6" s="2">
        <v>2019</v>
      </c>
      <c r="AB6" s="3">
        <v>3</v>
      </c>
    </row>
    <row r="7" spans="1:28" x14ac:dyDescent="0.25">
      <c r="A7" s="2" t="s">
        <v>8</v>
      </c>
      <c r="B7" s="3">
        <v>11</v>
      </c>
      <c r="U7" s="2" t="s">
        <v>275</v>
      </c>
      <c r="V7" s="3">
        <v>2</v>
      </c>
      <c r="AA7" s="2">
        <v>2020</v>
      </c>
      <c r="AB7" s="3">
        <v>1</v>
      </c>
    </row>
    <row r="8" spans="1:28" x14ac:dyDescent="0.25">
      <c r="A8" s="2" t="s">
        <v>60</v>
      </c>
      <c r="B8" s="3">
        <v>2</v>
      </c>
      <c r="U8" s="2" t="s">
        <v>638</v>
      </c>
      <c r="V8" s="3">
        <v>9</v>
      </c>
      <c r="AA8" s="2" t="s">
        <v>638</v>
      </c>
      <c r="AB8" s="3">
        <v>9</v>
      </c>
    </row>
    <row r="9" spans="1:28" x14ac:dyDescent="0.25">
      <c r="A9" s="2" t="s">
        <v>103</v>
      </c>
      <c r="B9" s="3">
        <v>6</v>
      </c>
    </row>
    <row r="10" spans="1:28" x14ac:dyDescent="0.25">
      <c r="A10" s="2" t="s">
        <v>57</v>
      </c>
      <c r="B10" s="3">
        <v>9</v>
      </c>
    </row>
    <row r="11" spans="1:28" x14ac:dyDescent="0.25">
      <c r="A11" s="2" t="s">
        <v>14</v>
      </c>
      <c r="B11" s="3">
        <v>5</v>
      </c>
    </row>
    <row r="12" spans="1:28" x14ac:dyDescent="0.25">
      <c r="A12" s="2" t="s">
        <v>86</v>
      </c>
      <c r="B12" s="3">
        <v>7</v>
      </c>
    </row>
    <row r="13" spans="1:28" x14ac:dyDescent="0.25">
      <c r="A13" s="2" t="s">
        <v>108</v>
      </c>
      <c r="B13" s="3">
        <v>8</v>
      </c>
    </row>
    <row r="14" spans="1:28" x14ac:dyDescent="0.25">
      <c r="A14" s="2" t="s">
        <v>43</v>
      </c>
      <c r="B14" s="3">
        <v>8</v>
      </c>
    </row>
    <row r="15" spans="1:28" x14ac:dyDescent="0.25">
      <c r="A15" s="2" t="s">
        <v>50</v>
      </c>
      <c r="B15" s="3">
        <v>6</v>
      </c>
    </row>
    <row r="16" spans="1:28" x14ac:dyDescent="0.25">
      <c r="A16" s="2" t="s">
        <v>240</v>
      </c>
      <c r="B16" s="3">
        <v>6</v>
      </c>
    </row>
    <row r="17" spans="1:22" x14ac:dyDescent="0.25">
      <c r="A17" s="2" t="s">
        <v>71</v>
      </c>
      <c r="B17" s="3">
        <v>14</v>
      </c>
      <c r="K17" s="1" t="s">
        <v>755</v>
      </c>
      <c r="L17" s="56" t="s">
        <v>255</v>
      </c>
    </row>
    <row r="18" spans="1:22" x14ac:dyDescent="0.25">
      <c r="A18" s="2" t="s">
        <v>638</v>
      </c>
      <c r="B18" s="3">
        <v>100</v>
      </c>
    </row>
    <row r="19" spans="1:22" x14ac:dyDescent="0.25">
      <c r="K19" s="1" t="s">
        <v>637</v>
      </c>
      <c r="L19" t="s">
        <v>870</v>
      </c>
    </row>
    <row r="20" spans="1:22" x14ac:dyDescent="0.25">
      <c r="K20" s="2" t="s">
        <v>344</v>
      </c>
      <c r="L20" s="3">
        <v>3</v>
      </c>
    </row>
    <row r="21" spans="1:22" x14ac:dyDescent="0.25">
      <c r="K21" s="2" t="s">
        <v>256</v>
      </c>
      <c r="L21" s="3">
        <v>47</v>
      </c>
    </row>
    <row r="22" spans="1:22" x14ac:dyDescent="0.25">
      <c r="A22" s="1" t="s">
        <v>755</v>
      </c>
      <c r="B22" s="56" t="s">
        <v>255</v>
      </c>
      <c r="K22" s="2" t="s">
        <v>266</v>
      </c>
      <c r="L22" s="3">
        <v>9</v>
      </c>
    </row>
    <row r="23" spans="1:22" x14ac:dyDescent="0.25">
      <c r="K23" s="2" t="s">
        <v>327</v>
      </c>
      <c r="L23" s="3">
        <v>3</v>
      </c>
    </row>
    <row r="24" spans="1:22" x14ac:dyDescent="0.25">
      <c r="A24" s="1" t="s">
        <v>637</v>
      </c>
      <c r="B24" t="s">
        <v>640</v>
      </c>
      <c r="K24" s="2" t="s">
        <v>275</v>
      </c>
      <c r="L24" s="3">
        <v>22</v>
      </c>
    </row>
    <row r="25" spans="1:22" x14ac:dyDescent="0.25">
      <c r="A25" s="2">
        <v>2017</v>
      </c>
      <c r="B25" s="3">
        <v>1180000000</v>
      </c>
      <c r="K25" s="2" t="s">
        <v>531</v>
      </c>
      <c r="L25" s="3">
        <v>1</v>
      </c>
    </row>
    <row r="26" spans="1:22" x14ac:dyDescent="0.25">
      <c r="A26" s="2">
        <v>2018</v>
      </c>
      <c r="B26" s="3">
        <v>2014000000</v>
      </c>
      <c r="K26" s="2" t="s">
        <v>284</v>
      </c>
      <c r="L26" s="3">
        <v>3</v>
      </c>
    </row>
    <row r="27" spans="1:22" x14ac:dyDescent="0.25">
      <c r="A27" s="2">
        <v>2019</v>
      </c>
      <c r="B27" s="3">
        <v>1451000000</v>
      </c>
      <c r="K27" s="2" t="s">
        <v>319</v>
      </c>
      <c r="L27" s="3">
        <v>7</v>
      </c>
    </row>
    <row r="28" spans="1:22" x14ac:dyDescent="0.25">
      <c r="A28" s="2">
        <v>2020</v>
      </c>
      <c r="B28" s="3">
        <v>1676000000</v>
      </c>
      <c r="K28" s="2" t="s">
        <v>261</v>
      </c>
      <c r="L28" s="3">
        <v>5</v>
      </c>
    </row>
    <row r="29" spans="1:22" x14ac:dyDescent="0.25">
      <c r="A29" s="2" t="s">
        <v>638</v>
      </c>
      <c r="B29" s="3">
        <v>6321000000</v>
      </c>
      <c r="K29" s="2" t="s">
        <v>638</v>
      </c>
      <c r="L29" s="3">
        <v>100</v>
      </c>
      <c r="U29" s="1" t="s">
        <v>755</v>
      </c>
      <c r="V29" s="56" t="s">
        <v>255</v>
      </c>
    </row>
    <row r="31" spans="1:22" x14ac:dyDescent="0.25">
      <c r="M31" s="1" t="s">
        <v>755</v>
      </c>
      <c r="N31" s="56" t="s">
        <v>255</v>
      </c>
      <c r="U31" s="1" t="s">
        <v>637</v>
      </c>
      <c r="V31" t="s">
        <v>640</v>
      </c>
    </row>
    <row r="32" spans="1:22" x14ac:dyDescent="0.25">
      <c r="J32" s="1" t="s">
        <v>755</v>
      </c>
      <c r="K32" s="56" t="s">
        <v>255</v>
      </c>
      <c r="U32" s="2">
        <v>2017</v>
      </c>
      <c r="V32" s="3">
        <v>205000000</v>
      </c>
    </row>
    <row r="33" spans="10:22" x14ac:dyDescent="0.25">
      <c r="M33" s="1" t="s">
        <v>637</v>
      </c>
      <c r="N33" t="s">
        <v>870</v>
      </c>
      <c r="U33" s="2">
        <v>2018</v>
      </c>
      <c r="V33" s="3">
        <v>120000000</v>
      </c>
    </row>
    <row r="34" spans="10:22" x14ac:dyDescent="0.25">
      <c r="J34" s="1" t="s">
        <v>637</v>
      </c>
      <c r="K34" t="s">
        <v>870</v>
      </c>
      <c r="M34" s="2" t="s">
        <v>479</v>
      </c>
      <c r="N34" s="3">
        <v>1</v>
      </c>
      <c r="U34" s="2">
        <v>2019</v>
      </c>
      <c r="V34" s="3">
        <v>183000000</v>
      </c>
    </row>
    <row r="35" spans="10:22" x14ac:dyDescent="0.25">
      <c r="J35" s="2">
        <v>2017</v>
      </c>
      <c r="K35" s="3">
        <v>19</v>
      </c>
      <c r="M35" s="2" t="s">
        <v>615</v>
      </c>
      <c r="N35" s="3">
        <v>1</v>
      </c>
      <c r="U35" s="2">
        <v>2020</v>
      </c>
      <c r="V35" s="3">
        <v>60000000</v>
      </c>
    </row>
    <row r="36" spans="10:22" x14ac:dyDescent="0.25">
      <c r="J36" s="2">
        <v>2018</v>
      </c>
      <c r="K36" s="3">
        <v>31</v>
      </c>
      <c r="M36" s="2" t="s">
        <v>514</v>
      </c>
      <c r="N36" s="3">
        <v>1</v>
      </c>
      <c r="U36" s="2" t="s">
        <v>638</v>
      </c>
      <c r="V36" s="3">
        <v>568000000</v>
      </c>
    </row>
    <row r="37" spans="10:22" x14ac:dyDescent="0.25">
      <c r="J37" s="2">
        <v>2019</v>
      </c>
      <c r="K37" s="3">
        <v>23</v>
      </c>
      <c r="M37" s="2" t="s">
        <v>495</v>
      </c>
      <c r="N37" s="3">
        <v>1</v>
      </c>
    </row>
    <row r="38" spans="10:22" x14ac:dyDescent="0.25">
      <c r="J38" s="2">
        <v>2020</v>
      </c>
      <c r="K38" s="3">
        <v>27</v>
      </c>
      <c r="M38" s="2" t="s">
        <v>631</v>
      </c>
      <c r="N38" s="3">
        <v>1</v>
      </c>
    </row>
    <row r="39" spans="10:22" x14ac:dyDescent="0.25">
      <c r="J39" s="2" t="s">
        <v>638</v>
      </c>
      <c r="K39" s="3">
        <v>100</v>
      </c>
      <c r="M39" s="2" t="s">
        <v>364</v>
      </c>
      <c r="N39" s="3">
        <v>3</v>
      </c>
    </row>
    <row r="40" spans="10:22" x14ac:dyDescent="0.25">
      <c r="M40" s="2" t="s">
        <v>402</v>
      </c>
      <c r="N40" s="3">
        <v>1</v>
      </c>
    </row>
    <row r="41" spans="10:22" x14ac:dyDescent="0.25">
      <c r="M41" s="2" t="s">
        <v>638</v>
      </c>
      <c r="N41" s="3">
        <v>9</v>
      </c>
    </row>
  </sheetData>
  <pageMargins left="0.7" right="0.7" top="0.75" bottom="0.75" header="0.3" footer="0.3"/>
  <drawing r:id="rId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Per"/>
  <dimension ref="A1:I601"/>
  <sheetViews>
    <sheetView topLeftCell="G37" zoomScale="89" zoomScaleNormal="89" workbookViewId="0">
      <selection activeCell="P41" sqref="P41"/>
    </sheetView>
  </sheetViews>
  <sheetFormatPr defaultRowHeight="15" x14ac:dyDescent="0.25"/>
  <cols>
    <col min="1" max="1" width="22.28515625" hidden="1" customWidth="1"/>
    <col min="2" max="2" width="42.85546875" hidden="1" customWidth="1"/>
    <col min="3" max="3" width="7.28515625" hidden="1" customWidth="1"/>
    <col min="4" max="4" width="39.85546875" hidden="1" customWidth="1"/>
    <col min="5" max="5" width="15" customWidth="1"/>
    <col min="6" max="6" width="16.28515625" customWidth="1"/>
    <col min="7" max="7" width="22.42578125" customWidth="1"/>
    <col min="8" max="10" width="11.28515625" customWidth="1"/>
    <col min="11" max="11" width="7.5703125" customWidth="1"/>
    <col min="12" max="12" width="11.28515625" customWidth="1"/>
    <col min="13" max="13" width="7.140625" customWidth="1"/>
    <col min="14" max="14" width="7.5703125" customWidth="1"/>
    <col min="15" max="15" width="11.28515625" customWidth="1"/>
    <col min="16" max="16" width="13.42578125" bestFit="1" customWidth="1"/>
    <col min="17" max="17" width="18.5703125" bestFit="1" customWidth="1"/>
    <col min="18" max="18" width="16.7109375" bestFit="1" customWidth="1"/>
    <col min="19" max="19" width="20.28515625" bestFit="1" customWidth="1"/>
    <col min="20" max="20" width="16" bestFit="1" customWidth="1"/>
    <col min="21" max="21" width="11.7109375" bestFit="1" customWidth="1"/>
    <col min="22" max="22" width="10" bestFit="1" customWidth="1"/>
    <col min="23" max="23" width="16.42578125" bestFit="1" customWidth="1"/>
    <col min="24" max="24" width="5.28515625" customWidth="1"/>
    <col min="25" max="25" width="21" bestFit="1" customWidth="1"/>
    <col min="26" max="26" width="30" bestFit="1" customWidth="1"/>
    <col min="27" max="27" width="22.42578125" bestFit="1" customWidth="1"/>
    <col min="28" max="28" width="13.42578125" bestFit="1" customWidth="1"/>
    <col min="29" max="29" width="12.5703125" bestFit="1" customWidth="1"/>
    <col min="30" max="30" width="14.42578125" bestFit="1" customWidth="1"/>
    <col min="31" max="31" width="18.5703125" bestFit="1" customWidth="1"/>
    <col min="32" max="32" width="14.140625" bestFit="1" customWidth="1"/>
    <col min="33" max="33" width="20.7109375" bestFit="1" customWidth="1"/>
    <col min="34" max="34" width="18" bestFit="1" customWidth="1"/>
    <col min="35" max="35" width="20" bestFit="1" customWidth="1"/>
    <col min="36" max="36" width="16.42578125" bestFit="1" customWidth="1"/>
    <col min="37" max="37" width="21.7109375" bestFit="1" customWidth="1"/>
    <col min="38" max="38" width="13.5703125" bestFit="1" customWidth="1"/>
    <col min="39" max="39" width="14.42578125" bestFit="1" customWidth="1"/>
    <col min="40" max="40" width="14.5703125" bestFit="1" customWidth="1"/>
    <col min="41" max="41" width="12.140625" bestFit="1" customWidth="1"/>
    <col min="42" max="42" width="16" bestFit="1" customWidth="1"/>
    <col min="43" max="43" width="18.42578125" bestFit="1" customWidth="1"/>
    <col min="44" max="44" width="16.42578125" bestFit="1" customWidth="1"/>
    <col min="45" max="45" width="7.7109375" customWidth="1"/>
    <col min="46" max="46" width="11" bestFit="1" customWidth="1"/>
    <col min="47" max="47" width="12.140625" bestFit="1" customWidth="1"/>
    <col min="48" max="48" width="19.7109375" bestFit="1" customWidth="1"/>
    <col min="49" max="49" width="17.5703125" bestFit="1" customWidth="1"/>
    <col min="50" max="50" width="20.7109375" bestFit="1" customWidth="1"/>
    <col min="51" max="51" width="12.42578125" bestFit="1" customWidth="1"/>
    <col min="52" max="52" width="20.28515625" bestFit="1" customWidth="1"/>
    <col min="53" max="53" width="7.5703125" customWidth="1"/>
    <col min="54" max="54" width="11.85546875" bestFit="1" customWidth="1"/>
    <col min="55" max="55" width="14" bestFit="1" customWidth="1"/>
    <col min="56" max="56" width="17.7109375" bestFit="1" customWidth="1"/>
    <col min="57" max="57" width="29" bestFit="1" customWidth="1"/>
    <col min="58" max="58" width="19.7109375" bestFit="1" customWidth="1"/>
    <col min="59" max="59" width="13.140625" bestFit="1" customWidth="1"/>
    <col min="60" max="60" width="14.28515625" bestFit="1" customWidth="1"/>
    <col min="61" max="61" width="8.28515625" customWidth="1"/>
    <col min="62" max="62" width="18.5703125" bestFit="1" customWidth="1"/>
    <col min="63" max="63" width="11.7109375" bestFit="1" customWidth="1"/>
    <col min="64" max="64" width="11.5703125" bestFit="1" customWidth="1"/>
    <col min="65" max="65" width="14.5703125" bestFit="1" customWidth="1"/>
    <col min="66" max="66" width="19.42578125" bestFit="1" customWidth="1"/>
    <col min="67" max="67" width="16.5703125" bestFit="1" customWidth="1"/>
    <col min="68" max="68" width="18.140625" bestFit="1" customWidth="1"/>
    <col min="69" max="69" width="18.7109375" bestFit="1" customWidth="1"/>
    <col min="70" max="70" width="19.140625" bestFit="1" customWidth="1"/>
    <col min="71" max="71" width="10.140625" bestFit="1" customWidth="1"/>
    <col min="72" max="72" width="23.42578125" bestFit="1" customWidth="1"/>
    <col min="73" max="73" width="11.5703125" bestFit="1" customWidth="1"/>
    <col min="74" max="74" width="15.5703125" bestFit="1" customWidth="1"/>
    <col min="75" max="75" width="16.140625" bestFit="1" customWidth="1"/>
    <col min="76" max="76" width="16.5703125" bestFit="1" customWidth="1"/>
    <col min="77" max="77" width="40.140625" bestFit="1" customWidth="1"/>
    <col min="78" max="78" width="19.7109375" bestFit="1" customWidth="1"/>
    <col min="79" max="79" width="15" bestFit="1" customWidth="1"/>
    <col min="80" max="80" width="11.7109375" bestFit="1" customWidth="1"/>
    <col min="81" max="81" width="18.85546875" bestFit="1" customWidth="1"/>
    <col min="82" max="82" width="15.7109375" bestFit="1" customWidth="1"/>
    <col min="83" max="83" width="13.85546875" bestFit="1" customWidth="1"/>
    <col min="85" max="86" width="11.28515625" bestFit="1" customWidth="1"/>
    <col min="87" max="87" width="22.5703125" bestFit="1" customWidth="1"/>
    <col min="88" max="88" width="23.7109375" bestFit="1" customWidth="1"/>
    <col min="89" max="89" width="20.42578125" bestFit="1" customWidth="1"/>
    <col min="90" max="91" width="7.85546875" customWidth="1"/>
    <col min="92" max="92" width="10.42578125" bestFit="1" customWidth="1"/>
    <col min="93" max="93" width="16.42578125" bestFit="1" customWidth="1"/>
    <col min="94" max="94" width="26.7109375" bestFit="1" customWidth="1"/>
    <col min="95" max="95" width="18.28515625" bestFit="1" customWidth="1"/>
    <col min="96" max="96" width="13.28515625" bestFit="1" customWidth="1"/>
    <col min="97" max="97" width="14.85546875" bestFit="1" customWidth="1"/>
    <col min="98" max="98" width="12.42578125" bestFit="1" customWidth="1"/>
    <col min="99" max="99" width="18.42578125" bestFit="1" customWidth="1"/>
    <col min="100" max="100" width="19.85546875" bestFit="1" customWidth="1"/>
    <col min="101" max="101" width="8.28515625" customWidth="1"/>
    <col min="102" max="102" width="29.7109375" bestFit="1" customWidth="1"/>
    <col min="104" max="104" width="11.7109375" bestFit="1" customWidth="1"/>
    <col min="105" max="105" width="10.85546875" bestFit="1" customWidth="1"/>
    <col min="106" max="106" width="13.7109375" bestFit="1" customWidth="1"/>
    <col min="107" max="107" width="7" customWidth="1"/>
    <col min="108" max="108" width="12" bestFit="1" customWidth="1"/>
    <col min="109" max="109" width="11.7109375" bestFit="1" customWidth="1"/>
    <col min="110" max="110" width="14.5703125" bestFit="1" customWidth="1"/>
    <col min="111" max="111" width="7.28515625" customWidth="1"/>
    <col min="112" max="112" width="10.140625" bestFit="1" customWidth="1"/>
    <col min="113" max="113" width="18.7109375" bestFit="1" customWidth="1"/>
    <col min="114" max="114" width="7.7109375" customWidth="1"/>
    <col min="115" max="115" width="6.85546875" customWidth="1"/>
    <col min="116" max="116" width="21.85546875" bestFit="1" customWidth="1"/>
    <col min="117" max="117" width="7.42578125" customWidth="1"/>
    <col min="118" max="118" width="17.85546875" bestFit="1" customWidth="1"/>
    <col min="119" max="119" width="12.85546875" bestFit="1" customWidth="1"/>
    <col min="120" max="120" width="7.7109375" customWidth="1"/>
    <col min="121" max="121" width="18.85546875" bestFit="1" customWidth="1"/>
    <col min="122" max="122" width="13.28515625" bestFit="1" customWidth="1"/>
    <col min="123" max="123" width="9.5703125" bestFit="1" customWidth="1"/>
    <col min="124" max="124" width="19.28515625" bestFit="1" customWidth="1"/>
    <col min="125" max="125" width="21.5703125" bestFit="1" customWidth="1"/>
    <col min="126" max="126" width="18.85546875" bestFit="1" customWidth="1"/>
    <col min="127" max="127" width="27.85546875" bestFit="1" customWidth="1"/>
    <col min="128" max="128" width="12.140625" bestFit="1" customWidth="1"/>
    <col min="129" max="129" width="16.42578125" bestFit="1" customWidth="1"/>
    <col min="130" max="130" width="15" bestFit="1" customWidth="1"/>
    <col min="131" max="131" width="12.28515625" bestFit="1" customWidth="1"/>
    <col min="132" max="132" width="24.28515625" bestFit="1" customWidth="1"/>
    <col min="133" max="133" width="11.28515625" bestFit="1" customWidth="1"/>
  </cols>
  <sheetData>
    <row r="1" spans="1:8" x14ac:dyDescent="0.25">
      <c r="A1" s="63" t="s">
        <v>756</v>
      </c>
      <c r="B1" s="63" t="s">
        <v>652</v>
      </c>
      <c r="C1" s="63" t="s">
        <v>753</v>
      </c>
      <c r="D1" s="63" t="s">
        <v>873</v>
      </c>
      <c r="E1" s="1" t="s">
        <v>756</v>
      </c>
      <c r="F1" s="56" t="s">
        <v>7</v>
      </c>
    </row>
    <row r="2" spans="1:8" x14ac:dyDescent="0.25">
      <c r="A2" s="64" t="s">
        <v>7</v>
      </c>
      <c r="B2" s="64" t="s">
        <v>10</v>
      </c>
      <c r="C2" s="64">
        <v>2017</v>
      </c>
      <c r="D2" s="64" t="s">
        <v>764</v>
      </c>
    </row>
    <row r="3" spans="1:8" x14ac:dyDescent="0.25">
      <c r="A3" s="65" t="s">
        <v>7</v>
      </c>
      <c r="B3" s="65" t="s">
        <v>10</v>
      </c>
      <c r="C3" s="65">
        <v>2018</v>
      </c>
      <c r="D3" s="65" t="s">
        <v>765</v>
      </c>
      <c r="E3" s="1" t="s">
        <v>875</v>
      </c>
      <c r="F3" s="1" t="s">
        <v>874</v>
      </c>
    </row>
    <row r="4" spans="1:8" x14ac:dyDescent="0.25">
      <c r="A4" s="66" t="s">
        <v>7</v>
      </c>
      <c r="B4" s="66" t="s">
        <v>10</v>
      </c>
      <c r="C4" s="66">
        <v>2019</v>
      </c>
      <c r="D4" s="66" t="s">
        <v>766</v>
      </c>
      <c r="E4" s="1" t="s">
        <v>637</v>
      </c>
      <c r="F4" s="56" t="s">
        <v>10</v>
      </c>
      <c r="G4" s="56" t="s">
        <v>62</v>
      </c>
      <c r="H4" s="56" t="s">
        <v>638</v>
      </c>
    </row>
    <row r="5" spans="1:8" x14ac:dyDescent="0.25">
      <c r="A5" s="65" t="s">
        <v>7</v>
      </c>
      <c r="B5" s="65" t="s">
        <v>10</v>
      </c>
      <c r="C5" s="65">
        <v>2017</v>
      </c>
      <c r="D5" s="65" t="s">
        <v>767</v>
      </c>
      <c r="E5" s="2">
        <v>2017</v>
      </c>
      <c r="F5" s="3">
        <v>1</v>
      </c>
      <c r="G5" s="3"/>
      <c r="H5" s="3">
        <v>1</v>
      </c>
    </row>
    <row r="6" spans="1:8" x14ac:dyDescent="0.25">
      <c r="A6" s="66" t="s">
        <v>7</v>
      </c>
      <c r="B6" s="66" t="s">
        <v>27</v>
      </c>
      <c r="C6" s="66">
        <v>2017</v>
      </c>
      <c r="D6" s="66" t="s">
        <v>768</v>
      </c>
      <c r="E6" s="2">
        <v>2018</v>
      </c>
      <c r="F6" s="3"/>
      <c r="G6" s="3">
        <v>1</v>
      </c>
      <c r="H6" s="3">
        <v>1</v>
      </c>
    </row>
    <row r="7" spans="1:8" x14ac:dyDescent="0.25">
      <c r="A7" s="65" t="s">
        <v>7</v>
      </c>
      <c r="B7" s="65" t="s">
        <v>10</v>
      </c>
      <c r="C7" s="65">
        <v>2017</v>
      </c>
      <c r="D7" s="65" t="s">
        <v>769</v>
      </c>
      <c r="E7" s="2">
        <v>2019</v>
      </c>
      <c r="F7" s="3">
        <v>2</v>
      </c>
      <c r="G7" s="3"/>
      <c r="H7" s="3">
        <v>2</v>
      </c>
    </row>
    <row r="8" spans="1:8" x14ac:dyDescent="0.25">
      <c r="A8" s="66" t="s">
        <v>7</v>
      </c>
      <c r="B8" s="66" t="s">
        <v>10</v>
      </c>
      <c r="C8" s="66">
        <v>2018</v>
      </c>
      <c r="D8" s="66" t="s">
        <v>770</v>
      </c>
      <c r="E8" s="2">
        <v>2020</v>
      </c>
      <c r="F8" s="3">
        <v>2</v>
      </c>
      <c r="G8" s="3"/>
      <c r="H8" s="3">
        <v>2</v>
      </c>
    </row>
    <row r="9" spans="1:8" x14ac:dyDescent="0.25">
      <c r="A9" s="65" t="s">
        <v>7</v>
      </c>
      <c r="B9" s="65" t="s">
        <v>10</v>
      </c>
      <c r="C9" s="65">
        <v>2018</v>
      </c>
      <c r="D9" s="65" t="s">
        <v>771</v>
      </c>
      <c r="E9" s="2" t="s">
        <v>638</v>
      </c>
      <c r="F9" s="3">
        <v>5</v>
      </c>
      <c r="G9" s="3">
        <v>1</v>
      </c>
      <c r="H9" s="3">
        <v>6</v>
      </c>
    </row>
    <row r="10" spans="1:8" x14ac:dyDescent="0.25">
      <c r="A10" s="66" t="s">
        <v>7</v>
      </c>
      <c r="B10" s="66" t="s">
        <v>10</v>
      </c>
      <c r="C10" s="66">
        <v>2018</v>
      </c>
      <c r="D10" s="66" t="s">
        <v>772</v>
      </c>
    </row>
    <row r="11" spans="1:8" x14ac:dyDescent="0.25">
      <c r="A11" s="65" t="s">
        <v>7</v>
      </c>
      <c r="B11" s="65" t="s">
        <v>10</v>
      </c>
      <c r="C11" s="65">
        <v>2019</v>
      </c>
      <c r="D11" s="65" t="s">
        <v>773</v>
      </c>
    </row>
    <row r="12" spans="1:8" x14ac:dyDescent="0.25">
      <c r="A12" s="66" t="s">
        <v>7</v>
      </c>
      <c r="B12" s="66" t="s">
        <v>10</v>
      </c>
      <c r="C12" s="66">
        <v>2017</v>
      </c>
      <c r="D12" s="66" t="s">
        <v>774</v>
      </c>
    </row>
    <row r="13" spans="1:8" x14ac:dyDescent="0.25">
      <c r="A13" s="65" t="s">
        <v>7</v>
      </c>
      <c r="B13" s="65" t="s">
        <v>10</v>
      </c>
      <c r="C13" s="65">
        <v>2017</v>
      </c>
      <c r="D13" s="65" t="s">
        <v>775</v>
      </c>
    </row>
    <row r="14" spans="1:8" x14ac:dyDescent="0.25">
      <c r="A14" s="66" t="s">
        <v>7</v>
      </c>
      <c r="B14" s="66" t="s">
        <v>10</v>
      </c>
      <c r="C14" s="66">
        <v>2018</v>
      </c>
      <c r="D14" s="66" t="s">
        <v>776</v>
      </c>
    </row>
    <row r="15" spans="1:8" x14ac:dyDescent="0.25">
      <c r="A15" s="65" t="s">
        <v>7</v>
      </c>
      <c r="B15" s="65" t="s">
        <v>62</v>
      </c>
      <c r="C15" s="65">
        <v>2019</v>
      </c>
      <c r="D15" s="65" t="s">
        <v>777</v>
      </c>
    </row>
    <row r="16" spans="1:8" x14ac:dyDescent="0.25">
      <c r="A16" s="66" t="s">
        <v>7</v>
      </c>
      <c r="B16" s="66" t="s">
        <v>10</v>
      </c>
      <c r="C16" s="66">
        <v>2020</v>
      </c>
      <c r="D16" s="66" t="s">
        <v>778</v>
      </c>
    </row>
    <row r="17" spans="1:9" x14ac:dyDescent="0.25">
      <c r="A17" s="65" t="s">
        <v>7</v>
      </c>
      <c r="B17" s="65" t="s">
        <v>62</v>
      </c>
      <c r="C17" s="65">
        <v>2018</v>
      </c>
      <c r="D17" s="65" t="s">
        <v>779</v>
      </c>
    </row>
    <row r="18" spans="1:9" x14ac:dyDescent="0.25">
      <c r="A18" s="66" t="s">
        <v>7</v>
      </c>
      <c r="B18" s="66" t="s">
        <v>10</v>
      </c>
      <c r="C18" s="66">
        <v>2020</v>
      </c>
      <c r="D18" s="66" t="s">
        <v>780</v>
      </c>
    </row>
    <row r="19" spans="1:9" x14ac:dyDescent="0.25">
      <c r="A19" s="65" t="s">
        <v>7</v>
      </c>
      <c r="B19" s="65" t="s">
        <v>10</v>
      </c>
      <c r="C19" s="65">
        <v>2019</v>
      </c>
      <c r="D19" s="65" t="s">
        <v>781</v>
      </c>
    </row>
    <row r="20" spans="1:9" x14ac:dyDescent="0.25">
      <c r="A20" s="66" t="s">
        <v>7</v>
      </c>
      <c r="B20" s="66" t="s">
        <v>10</v>
      </c>
      <c r="C20" s="66">
        <v>2020</v>
      </c>
      <c r="D20" s="66" t="s">
        <v>782</v>
      </c>
    </row>
    <row r="21" spans="1:9" x14ac:dyDescent="0.25">
      <c r="A21" s="65" t="s">
        <v>7</v>
      </c>
      <c r="B21" s="65" t="s">
        <v>10</v>
      </c>
      <c r="C21" s="65">
        <v>2019</v>
      </c>
      <c r="D21" s="65" t="s">
        <v>783</v>
      </c>
    </row>
    <row r="22" spans="1:9" x14ac:dyDescent="0.25">
      <c r="A22" s="66" t="s">
        <v>7</v>
      </c>
      <c r="B22" s="66" t="s">
        <v>10</v>
      </c>
      <c r="C22" s="66">
        <v>2020</v>
      </c>
      <c r="D22" s="66" t="s">
        <v>784</v>
      </c>
    </row>
    <row r="23" spans="1:9" x14ac:dyDescent="0.25">
      <c r="A23" s="65" t="s">
        <v>7</v>
      </c>
      <c r="B23" s="65" t="s">
        <v>10</v>
      </c>
      <c r="C23" s="65">
        <v>2018</v>
      </c>
      <c r="D23" s="65" t="s">
        <v>785</v>
      </c>
    </row>
    <row r="24" spans="1:9" x14ac:dyDescent="0.25">
      <c r="A24" s="66" t="s">
        <v>7</v>
      </c>
      <c r="B24" s="66" t="s">
        <v>10</v>
      </c>
      <c r="C24" s="66">
        <v>2018</v>
      </c>
      <c r="D24" s="66" t="s">
        <v>786</v>
      </c>
      <c r="E24" s="1" t="s">
        <v>756</v>
      </c>
      <c r="F24" s="56" t="s">
        <v>255</v>
      </c>
    </row>
    <row r="25" spans="1:9" x14ac:dyDescent="0.25">
      <c r="A25" s="65" t="s">
        <v>7</v>
      </c>
      <c r="B25" s="65" t="s">
        <v>10</v>
      </c>
      <c r="C25" s="65">
        <v>2018</v>
      </c>
      <c r="D25" s="65" t="s">
        <v>787</v>
      </c>
    </row>
    <row r="26" spans="1:9" x14ac:dyDescent="0.25">
      <c r="A26" s="66" t="s">
        <v>7</v>
      </c>
      <c r="B26" s="66" t="s">
        <v>10</v>
      </c>
      <c r="C26" s="66">
        <v>2019</v>
      </c>
      <c r="D26" s="66" t="s">
        <v>788</v>
      </c>
      <c r="E26" s="1" t="s">
        <v>875</v>
      </c>
      <c r="F26" s="1" t="s">
        <v>874</v>
      </c>
    </row>
    <row r="27" spans="1:9" x14ac:dyDescent="0.25">
      <c r="A27" s="65" t="s">
        <v>7</v>
      </c>
      <c r="B27" s="65" t="s">
        <v>10</v>
      </c>
      <c r="C27" s="65">
        <v>2018</v>
      </c>
      <c r="D27" s="65" t="s">
        <v>789</v>
      </c>
      <c r="E27" s="1" t="s">
        <v>637</v>
      </c>
      <c r="F27" s="56" t="s">
        <v>256</v>
      </c>
      <c r="G27" s="56" t="s">
        <v>275</v>
      </c>
      <c r="H27" s="56" t="s">
        <v>261</v>
      </c>
      <c r="I27" s="56" t="s">
        <v>638</v>
      </c>
    </row>
    <row r="28" spans="1:9" x14ac:dyDescent="0.25">
      <c r="A28" s="66" t="s">
        <v>7</v>
      </c>
      <c r="B28" s="66" t="s">
        <v>97</v>
      </c>
      <c r="C28" s="66">
        <v>2018</v>
      </c>
      <c r="D28" s="66" t="s">
        <v>790</v>
      </c>
      <c r="E28" s="2">
        <v>2017</v>
      </c>
      <c r="F28" s="3"/>
      <c r="G28" s="3">
        <v>1</v>
      </c>
      <c r="H28" s="3">
        <v>1</v>
      </c>
      <c r="I28" s="3">
        <v>2</v>
      </c>
    </row>
    <row r="29" spans="1:9" x14ac:dyDescent="0.25">
      <c r="A29" s="65" t="s">
        <v>7</v>
      </c>
      <c r="B29" s="65" t="s">
        <v>10</v>
      </c>
      <c r="C29" s="65">
        <v>2020</v>
      </c>
      <c r="D29" s="65" t="s">
        <v>791</v>
      </c>
      <c r="E29" s="2">
        <v>2018</v>
      </c>
      <c r="F29" s="3">
        <v>1</v>
      </c>
      <c r="G29" s="3"/>
      <c r="H29" s="3"/>
      <c r="I29" s="3">
        <v>1</v>
      </c>
    </row>
    <row r="30" spans="1:9" x14ac:dyDescent="0.25">
      <c r="A30" s="66" t="s">
        <v>7</v>
      </c>
      <c r="B30" s="66" t="s">
        <v>10</v>
      </c>
      <c r="C30" s="66">
        <v>2020</v>
      </c>
      <c r="D30" s="66" t="s">
        <v>792</v>
      </c>
      <c r="E30" s="2">
        <v>2019</v>
      </c>
      <c r="F30" s="3">
        <v>1</v>
      </c>
      <c r="G30" s="3"/>
      <c r="H30" s="3"/>
      <c r="I30" s="3">
        <v>1</v>
      </c>
    </row>
    <row r="31" spans="1:9" x14ac:dyDescent="0.25">
      <c r="A31" s="65" t="s">
        <v>7</v>
      </c>
      <c r="B31" s="65" t="s">
        <v>62</v>
      </c>
      <c r="C31" s="65">
        <v>2018</v>
      </c>
      <c r="D31" s="65" t="s">
        <v>793</v>
      </c>
      <c r="E31" s="2">
        <v>2020</v>
      </c>
      <c r="F31" s="3">
        <v>1</v>
      </c>
      <c r="G31" s="3">
        <v>1</v>
      </c>
      <c r="H31" s="3"/>
      <c r="I31" s="3">
        <v>2</v>
      </c>
    </row>
    <row r="32" spans="1:9" x14ac:dyDescent="0.25">
      <c r="A32" s="66" t="s">
        <v>7</v>
      </c>
      <c r="B32" s="66" t="s">
        <v>62</v>
      </c>
      <c r="C32" s="66">
        <v>2017</v>
      </c>
      <c r="D32" s="66" t="s">
        <v>794</v>
      </c>
      <c r="E32" s="2" t="s">
        <v>638</v>
      </c>
      <c r="F32" s="3">
        <v>3</v>
      </c>
      <c r="G32" s="3">
        <v>2</v>
      </c>
      <c r="H32" s="3">
        <v>1</v>
      </c>
      <c r="I32" s="3">
        <v>6</v>
      </c>
    </row>
    <row r="33" spans="1:6" x14ac:dyDescent="0.25">
      <c r="A33" s="65" t="s">
        <v>7</v>
      </c>
      <c r="B33" s="65" t="s">
        <v>62</v>
      </c>
      <c r="C33" s="65">
        <v>2018</v>
      </c>
      <c r="D33" s="65" t="s">
        <v>795</v>
      </c>
    </row>
    <row r="34" spans="1:6" x14ac:dyDescent="0.25">
      <c r="A34" s="66" t="s">
        <v>7</v>
      </c>
      <c r="B34" s="66" t="s">
        <v>220</v>
      </c>
      <c r="C34" s="66">
        <v>2018</v>
      </c>
      <c r="D34" s="66" t="s">
        <v>796</v>
      </c>
    </row>
    <row r="35" spans="1:6" x14ac:dyDescent="0.25">
      <c r="A35" s="65" t="s">
        <v>7</v>
      </c>
      <c r="B35" s="65" t="s">
        <v>10</v>
      </c>
      <c r="C35" s="65">
        <v>2018</v>
      </c>
      <c r="D35" s="65" t="s">
        <v>797</v>
      </c>
    </row>
    <row r="36" spans="1:6" x14ac:dyDescent="0.25">
      <c r="A36" s="66" t="s">
        <v>7</v>
      </c>
      <c r="B36" s="66" t="s">
        <v>10</v>
      </c>
      <c r="C36" s="66">
        <v>2018</v>
      </c>
      <c r="D36" s="66" t="s">
        <v>798</v>
      </c>
    </row>
    <row r="37" spans="1:6" x14ac:dyDescent="0.25">
      <c r="A37" s="65" t="s">
        <v>7</v>
      </c>
      <c r="B37" s="65" t="s">
        <v>97</v>
      </c>
      <c r="C37" s="65">
        <v>2017</v>
      </c>
      <c r="D37" s="65" t="s">
        <v>799</v>
      </c>
    </row>
    <row r="38" spans="1:6" x14ac:dyDescent="0.25">
      <c r="A38" s="66" t="s">
        <v>7</v>
      </c>
      <c r="B38" s="66" t="s">
        <v>10</v>
      </c>
      <c r="C38" s="66">
        <v>2020</v>
      </c>
      <c r="D38" s="66" t="s">
        <v>800</v>
      </c>
    </row>
    <row r="39" spans="1:6" x14ac:dyDescent="0.25">
      <c r="A39" s="65" t="s">
        <v>7</v>
      </c>
      <c r="B39" s="65" t="s">
        <v>62</v>
      </c>
      <c r="C39" s="65">
        <v>2020</v>
      </c>
      <c r="D39" s="65" t="s">
        <v>801</v>
      </c>
    </row>
    <row r="40" spans="1:6" x14ac:dyDescent="0.25">
      <c r="A40" s="66" t="s">
        <v>7</v>
      </c>
      <c r="B40" s="66" t="s">
        <v>10</v>
      </c>
      <c r="C40" s="66">
        <v>2018</v>
      </c>
      <c r="D40" s="66" t="s">
        <v>802</v>
      </c>
    </row>
    <row r="41" spans="1:6" x14ac:dyDescent="0.25">
      <c r="A41" s="65" t="s">
        <v>7</v>
      </c>
      <c r="B41" s="65" t="s">
        <v>129</v>
      </c>
      <c r="C41" s="65">
        <v>2020</v>
      </c>
      <c r="D41" s="65" t="s">
        <v>803</v>
      </c>
    </row>
    <row r="42" spans="1:6" x14ac:dyDescent="0.25">
      <c r="A42" s="66" t="s">
        <v>7</v>
      </c>
      <c r="B42" s="66" t="s">
        <v>10</v>
      </c>
      <c r="C42" s="66">
        <v>2017</v>
      </c>
      <c r="D42" s="66" t="s">
        <v>804</v>
      </c>
    </row>
    <row r="43" spans="1:6" x14ac:dyDescent="0.25">
      <c r="A43" s="65" t="s">
        <v>7</v>
      </c>
      <c r="B43" s="65" t="s">
        <v>10</v>
      </c>
      <c r="C43" s="65">
        <v>2017</v>
      </c>
      <c r="D43" s="65" t="s">
        <v>805</v>
      </c>
    </row>
    <row r="44" spans="1:6" x14ac:dyDescent="0.25">
      <c r="A44" s="66" t="s">
        <v>7</v>
      </c>
      <c r="B44" s="66" t="s">
        <v>10</v>
      </c>
      <c r="C44" s="66">
        <v>2020</v>
      </c>
      <c r="D44" s="66" t="s">
        <v>806</v>
      </c>
    </row>
    <row r="45" spans="1:6" x14ac:dyDescent="0.25">
      <c r="A45" s="65" t="s">
        <v>7</v>
      </c>
      <c r="B45" s="65" t="s">
        <v>140</v>
      </c>
      <c r="C45" s="65">
        <v>2017</v>
      </c>
      <c r="D45" s="65" t="s">
        <v>807</v>
      </c>
    </row>
    <row r="46" spans="1:6" x14ac:dyDescent="0.25">
      <c r="A46" s="66" t="s">
        <v>7</v>
      </c>
      <c r="B46" s="66" t="s">
        <v>97</v>
      </c>
      <c r="C46" s="66">
        <v>2019</v>
      </c>
      <c r="D46" s="66" t="s">
        <v>808</v>
      </c>
    </row>
    <row r="47" spans="1:6" x14ac:dyDescent="0.25">
      <c r="A47" s="65" t="s">
        <v>7</v>
      </c>
      <c r="B47" s="65" t="s">
        <v>10</v>
      </c>
      <c r="C47" s="65">
        <v>2018</v>
      </c>
      <c r="D47" s="65" t="s">
        <v>809</v>
      </c>
    </row>
    <row r="48" spans="1:6" x14ac:dyDescent="0.25">
      <c r="A48" s="66" t="s">
        <v>7</v>
      </c>
      <c r="B48" s="66" t="s">
        <v>10</v>
      </c>
      <c r="C48" s="66">
        <v>2019</v>
      </c>
      <c r="D48" s="66" t="s">
        <v>810</v>
      </c>
      <c r="E48" s="1" t="s">
        <v>875</v>
      </c>
      <c r="F48" s="1" t="s">
        <v>874</v>
      </c>
    </row>
    <row r="49" spans="1:8" x14ac:dyDescent="0.25">
      <c r="A49" s="65" t="s">
        <v>7</v>
      </c>
      <c r="B49" s="65" t="s">
        <v>62</v>
      </c>
      <c r="C49" s="65">
        <v>2018</v>
      </c>
      <c r="D49" s="65" t="s">
        <v>811</v>
      </c>
      <c r="E49" s="1" t="s">
        <v>637</v>
      </c>
      <c r="F49" s="56" t="s">
        <v>7</v>
      </c>
      <c r="G49" s="56" t="s">
        <v>255</v>
      </c>
      <c r="H49" s="56" t="s">
        <v>638</v>
      </c>
    </row>
    <row r="50" spans="1:8" x14ac:dyDescent="0.25">
      <c r="A50" s="66" t="s">
        <v>7</v>
      </c>
      <c r="B50" s="66" t="s">
        <v>10</v>
      </c>
      <c r="C50" s="66">
        <v>2017</v>
      </c>
      <c r="D50" s="66" t="s">
        <v>812</v>
      </c>
      <c r="E50" s="2">
        <v>2017</v>
      </c>
      <c r="F50" s="3">
        <v>1</v>
      </c>
      <c r="G50" s="3">
        <v>2</v>
      </c>
      <c r="H50" s="3">
        <v>3</v>
      </c>
    </row>
    <row r="51" spans="1:8" x14ac:dyDescent="0.25">
      <c r="A51" s="65" t="s">
        <v>7</v>
      </c>
      <c r="B51" s="65" t="s">
        <v>635</v>
      </c>
      <c r="C51" s="65">
        <v>2018</v>
      </c>
      <c r="D51" s="65" t="s">
        <v>813</v>
      </c>
      <c r="E51" s="2">
        <v>2018</v>
      </c>
      <c r="F51" s="3">
        <v>1</v>
      </c>
      <c r="G51" s="3">
        <v>1</v>
      </c>
      <c r="H51" s="3">
        <v>2</v>
      </c>
    </row>
    <row r="52" spans="1:8" x14ac:dyDescent="0.25">
      <c r="A52" s="66" t="s">
        <v>7</v>
      </c>
      <c r="B52" s="66" t="s">
        <v>10</v>
      </c>
      <c r="C52" s="66">
        <v>2017</v>
      </c>
      <c r="D52" s="66" t="s">
        <v>814</v>
      </c>
      <c r="E52" s="2">
        <v>2019</v>
      </c>
      <c r="F52" s="3">
        <v>2</v>
      </c>
      <c r="G52" s="3">
        <v>1</v>
      </c>
      <c r="H52" s="3">
        <v>3</v>
      </c>
    </row>
    <row r="53" spans="1:8" x14ac:dyDescent="0.25">
      <c r="A53" s="65" t="s">
        <v>7</v>
      </c>
      <c r="B53" s="65" t="s">
        <v>62</v>
      </c>
      <c r="C53" s="65">
        <v>2019</v>
      </c>
      <c r="D53" s="65" t="s">
        <v>815</v>
      </c>
      <c r="E53" s="2">
        <v>2020</v>
      </c>
      <c r="F53" s="3">
        <v>2</v>
      </c>
      <c r="G53" s="3">
        <v>2</v>
      </c>
      <c r="H53" s="3">
        <v>4</v>
      </c>
    </row>
    <row r="54" spans="1:8" x14ac:dyDescent="0.25">
      <c r="A54" s="66" t="s">
        <v>7</v>
      </c>
      <c r="B54" s="66" t="s">
        <v>10</v>
      </c>
      <c r="C54" s="66">
        <v>2020</v>
      </c>
      <c r="D54" s="66" t="s">
        <v>816</v>
      </c>
      <c r="E54" s="2" t="s">
        <v>638</v>
      </c>
      <c r="F54" s="3">
        <v>6</v>
      </c>
      <c r="G54" s="3">
        <v>6</v>
      </c>
      <c r="H54" s="3">
        <v>12</v>
      </c>
    </row>
    <row r="55" spans="1:8" x14ac:dyDescent="0.25">
      <c r="A55" s="65" t="s">
        <v>7</v>
      </c>
      <c r="B55" s="65" t="s">
        <v>10</v>
      </c>
      <c r="C55" s="65">
        <v>2018</v>
      </c>
      <c r="D55" s="65" t="s">
        <v>817</v>
      </c>
    </row>
    <row r="56" spans="1:8" x14ac:dyDescent="0.25">
      <c r="A56" s="66" t="s">
        <v>7</v>
      </c>
      <c r="B56" s="66" t="s">
        <v>62</v>
      </c>
      <c r="C56" s="66">
        <v>2018</v>
      </c>
      <c r="D56" s="66" t="s">
        <v>818</v>
      </c>
    </row>
    <row r="57" spans="1:8" x14ac:dyDescent="0.25">
      <c r="A57" s="65" t="s">
        <v>7</v>
      </c>
      <c r="B57" s="65" t="s">
        <v>62</v>
      </c>
      <c r="C57" s="65">
        <v>2019</v>
      </c>
      <c r="D57" s="65" t="s">
        <v>819</v>
      </c>
    </row>
    <row r="58" spans="1:8" x14ac:dyDescent="0.25">
      <c r="A58" s="66" t="s">
        <v>7</v>
      </c>
      <c r="B58" s="66" t="s">
        <v>220</v>
      </c>
      <c r="C58" s="66">
        <v>2017</v>
      </c>
      <c r="D58" s="66" t="s">
        <v>820</v>
      </c>
    </row>
    <row r="59" spans="1:8" x14ac:dyDescent="0.25">
      <c r="A59" s="65" t="s">
        <v>7</v>
      </c>
      <c r="B59" s="65" t="s">
        <v>10</v>
      </c>
      <c r="C59" s="65">
        <v>2019</v>
      </c>
      <c r="D59" s="65" t="s">
        <v>821</v>
      </c>
    </row>
    <row r="60" spans="1:8" x14ac:dyDescent="0.25">
      <c r="A60" s="66" t="s">
        <v>7</v>
      </c>
      <c r="B60" s="66" t="s">
        <v>173</v>
      </c>
      <c r="C60" s="66">
        <v>2020</v>
      </c>
      <c r="D60" s="66" t="s">
        <v>822</v>
      </c>
    </row>
    <row r="61" spans="1:8" x14ac:dyDescent="0.25">
      <c r="A61" s="65" t="s">
        <v>7</v>
      </c>
      <c r="B61" s="65" t="s">
        <v>10</v>
      </c>
      <c r="C61" s="65">
        <v>2017</v>
      </c>
      <c r="D61" s="65" t="s">
        <v>823</v>
      </c>
    </row>
    <row r="62" spans="1:8" x14ac:dyDescent="0.25">
      <c r="A62" s="66" t="s">
        <v>7</v>
      </c>
      <c r="B62" s="66" t="s">
        <v>140</v>
      </c>
      <c r="C62" s="66">
        <v>2017</v>
      </c>
      <c r="D62" s="66" t="s">
        <v>824</v>
      </c>
    </row>
    <row r="63" spans="1:8" x14ac:dyDescent="0.25">
      <c r="A63" s="65" t="s">
        <v>7</v>
      </c>
      <c r="B63" s="65" t="s">
        <v>220</v>
      </c>
      <c r="C63" s="65">
        <v>2017</v>
      </c>
      <c r="D63" s="65" t="s">
        <v>825</v>
      </c>
    </row>
    <row r="64" spans="1:8" x14ac:dyDescent="0.25">
      <c r="A64" s="66" t="s">
        <v>7</v>
      </c>
      <c r="B64" s="66" t="s">
        <v>10</v>
      </c>
      <c r="C64" s="66">
        <v>2019</v>
      </c>
      <c r="D64" s="66" t="s">
        <v>826</v>
      </c>
    </row>
    <row r="65" spans="1:4" x14ac:dyDescent="0.25">
      <c r="A65" s="65" t="s">
        <v>7</v>
      </c>
      <c r="B65" s="65" t="s">
        <v>173</v>
      </c>
      <c r="C65" s="65">
        <v>2019</v>
      </c>
      <c r="D65" s="65" t="s">
        <v>827</v>
      </c>
    </row>
    <row r="66" spans="1:4" x14ac:dyDescent="0.25">
      <c r="A66" s="66" t="s">
        <v>7</v>
      </c>
      <c r="B66" s="66" t="s">
        <v>97</v>
      </c>
      <c r="C66" s="66">
        <v>2018</v>
      </c>
      <c r="D66" s="66" t="s">
        <v>828</v>
      </c>
    </row>
    <row r="67" spans="1:4" x14ac:dyDescent="0.25">
      <c r="A67" s="65" t="s">
        <v>7</v>
      </c>
      <c r="B67" s="65" t="s">
        <v>140</v>
      </c>
      <c r="C67" s="65">
        <v>2017</v>
      </c>
      <c r="D67" s="65" t="s">
        <v>829</v>
      </c>
    </row>
    <row r="68" spans="1:4" x14ac:dyDescent="0.25">
      <c r="A68" s="66" t="s">
        <v>7</v>
      </c>
      <c r="B68" s="66" t="s">
        <v>10</v>
      </c>
      <c r="C68" s="66">
        <v>2019</v>
      </c>
      <c r="D68" s="66" t="s">
        <v>257</v>
      </c>
    </row>
    <row r="69" spans="1:4" x14ac:dyDescent="0.25">
      <c r="A69" s="65" t="s">
        <v>7</v>
      </c>
      <c r="B69" s="65" t="s">
        <v>10</v>
      </c>
      <c r="C69" s="65">
        <v>2019</v>
      </c>
      <c r="D69" s="65" t="s">
        <v>830</v>
      </c>
    </row>
    <row r="70" spans="1:4" x14ac:dyDescent="0.25">
      <c r="A70" s="66" t="s">
        <v>7</v>
      </c>
      <c r="B70" s="66" t="s">
        <v>140</v>
      </c>
      <c r="C70" s="66">
        <v>2020</v>
      </c>
      <c r="D70" s="66" t="s">
        <v>831</v>
      </c>
    </row>
    <row r="71" spans="1:4" x14ac:dyDescent="0.25">
      <c r="A71" s="65" t="s">
        <v>7</v>
      </c>
      <c r="B71" s="65" t="s">
        <v>10</v>
      </c>
      <c r="C71" s="65">
        <v>2020</v>
      </c>
      <c r="D71" s="65" t="s">
        <v>832</v>
      </c>
    </row>
    <row r="72" spans="1:4" x14ac:dyDescent="0.25">
      <c r="A72" s="66" t="s">
        <v>7</v>
      </c>
      <c r="B72" s="66" t="s">
        <v>10</v>
      </c>
      <c r="C72" s="66">
        <v>2020</v>
      </c>
      <c r="D72" s="66" t="s">
        <v>833</v>
      </c>
    </row>
    <row r="73" spans="1:4" x14ac:dyDescent="0.25">
      <c r="A73" s="65" t="s">
        <v>7</v>
      </c>
      <c r="B73" s="65" t="s">
        <v>10</v>
      </c>
      <c r="C73" s="65">
        <v>2020</v>
      </c>
      <c r="D73" s="65" t="s">
        <v>834</v>
      </c>
    </row>
    <row r="74" spans="1:4" x14ac:dyDescent="0.25">
      <c r="A74" s="66" t="s">
        <v>7</v>
      </c>
      <c r="B74" s="66" t="s">
        <v>62</v>
      </c>
      <c r="C74" s="66">
        <v>2017</v>
      </c>
      <c r="D74" s="66" t="s">
        <v>835</v>
      </c>
    </row>
    <row r="75" spans="1:4" x14ac:dyDescent="0.25">
      <c r="A75" s="65" t="s">
        <v>7</v>
      </c>
      <c r="B75" s="65" t="s">
        <v>10</v>
      </c>
      <c r="C75" s="65">
        <v>2017</v>
      </c>
      <c r="D75" s="65" t="s">
        <v>836</v>
      </c>
    </row>
    <row r="76" spans="1:4" x14ac:dyDescent="0.25">
      <c r="A76" s="66" t="s">
        <v>7</v>
      </c>
      <c r="B76" s="66" t="s">
        <v>10</v>
      </c>
      <c r="C76" s="66">
        <v>2018</v>
      </c>
      <c r="D76" s="66" t="s">
        <v>837</v>
      </c>
    </row>
    <row r="77" spans="1:4" x14ac:dyDescent="0.25">
      <c r="A77" s="65" t="s">
        <v>7</v>
      </c>
      <c r="B77" s="65" t="s">
        <v>10</v>
      </c>
      <c r="C77" s="65">
        <v>2020</v>
      </c>
      <c r="D77" s="65" t="s">
        <v>838</v>
      </c>
    </row>
    <row r="78" spans="1:4" x14ac:dyDescent="0.25">
      <c r="A78" s="66" t="s">
        <v>7</v>
      </c>
      <c r="B78" s="66" t="s">
        <v>10</v>
      </c>
      <c r="C78" s="66">
        <v>2017</v>
      </c>
      <c r="D78" s="66" t="s">
        <v>839</v>
      </c>
    </row>
    <row r="79" spans="1:4" x14ac:dyDescent="0.25">
      <c r="A79" s="65" t="s">
        <v>7</v>
      </c>
      <c r="B79" s="65" t="s">
        <v>10</v>
      </c>
      <c r="C79" s="65">
        <v>2017</v>
      </c>
      <c r="D79" s="65" t="s">
        <v>840</v>
      </c>
    </row>
    <row r="80" spans="1:4" x14ac:dyDescent="0.25">
      <c r="A80" s="66" t="s">
        <v>7</v>
      </c>
      <c r="B80" s="66" t="s">
        <v>97</v>
      </c>
      <c r="C80" s="66">
        <v>2017</v>
      </c>
      <c r="D80" s="66" t="s">
        <v>841</v>
      </c>
    </row>
    <row r="81" spans="1:4" x14ac:dyDescent="0.25">
      <c r="A81" s="65" t="s">
        <v>7</v>
      </c>
      <c r="B81" s="65" t="s">
        <v>62</v>
      </c>
      <c r="C81" s="65">
        <v>2020</v>
      </c>
      <c r="D81" s="65" t="s">
        <v>842</v>
      </c>
    </row>
    <row r="82" spans="1:4" x14ac:dyDescent="0.25">
      <c r="A82" s="66" t="s">
        <v>7</v>
      </c>
      <c r="B82" s="66" t="s">
        <v>220</v>
      </c>
      <c r="C82" s="66">
        <v>2020</v>
      </c>
      <c r="D82" s="66" t="s">
        <v>843</v>
      </c>
    </row>
    <row r="83" spans="1:4" x14ac:dyDescent="0.25">
      <c r="A83" s="65" t="s">
        <v>7</v>
      </c>
      <c r="B83" s="65" t="s">
        <v>10</v>
      </c>
      <c r="C83" s="65">
        <v>2020</v>
      </c>
      <c r="D83" s="65" t="s">
        <v>844</v>
      </c>
    </row>
    <row r="84" spans="1:4" x14ac:dyDescent="0.25">
      <c r="A84" s="66" t="s">
        <v>7</v>
      </c>
      <c r="B84" s="66" t="s">
        <v>10</v>
      </c>
      <c r="C84" s="66">
        <v>2020</v>
      </c>
      <c r="D84" s="66" t="s">
        <v>845</v>
      </c>
    </row>
    <row r="85" spans="1:4" x14ac:dyDescent="0.25">
      <c r="A85" s="65" t="s">
        <v>7</v>
      </c>
      <c r="B85" s="65" t="s">
        <v>10</v>
      </c>
      <c r="C85" s="65">
        <v>2017</v>
      </c>
      <c r="D85" s="65" t="s">
        <v>846</v>
      </c>
    </row>
    <row r="86" spans="1:4" x14ac:dyDescent="0.25">
      <c r="A86" s="66" t="s">
        <v>7</v>
      </c>
      <c r="B86" s="66" t="s">
        <v>10</v>
      </c>
      <c r="C86" s="66">
        <v>2019</v>
      </c>
      <c r="D86" s="66" t="s">
        <v>847</v>
      </c>
    </row>
    <row r="87" spans="1:4" x14ac:dyDescent="0.25">
      <c r="A87" s="65" t="s">
        <v>7</v>
      </c>
      <c r="B87" s="65" t="s">
        <v>10</v>
      </c>
      <c r="C87" s="65">
        <v>2017</v>
      </c>
      <c r="D87" s="65" t="s">
        <v>848</v>
      </c>
    </row>
    <row r="88" spans="1:4" x14ac:dyDescent="0.25">
      <c r="A88" s="66" t="s">
        <v>7</v>
      </c>
      <c r="B88" s="66" t="s">
        <v>10</v>
      </c>
      <c r="C88" s="66">
        <v>2020</v>
      </c>
      <c r="D88" s="66" t="s">
        <v>849</v>
      </c>
    </row>
    <row r="89" spans="1:4" x14ac:dyDescent="0.25">
      <c r="A89" s="65" t="s">
        <v>7</v>
      </c>
      <c r="B89" s="65" t="s">
        <v>10</v>
      </c>
      <c r="C89" s="65">
        <v>2020</v>
      </c>
      <c r="D89" s="65" t="s">
        <v>850</v>
      </c>
    </row>
    <row r="90" spans="1:4" x14ac:dyDescent="0.25">
      <c r="A90" s="66" t="s">
        <v>7</v>
      </c>
      <c r="B90" s="66" t="s">
        <v>173</v>
      </c>
      <c r="C90" s="66">
        <v>2020</v>
      </c>
      <c r="D90" s="66" t="s">
        <v>851</v>
      </c>
    </row>
    <row r="91" spans="1:4" x14ac:dyDescent="0.25">
      <c r="A91" s="65" t="s">
        <v>7</v>
      </c>
      <c r="B91" s="65" t="s">
        <v>10</v>
      </c>
      <c r="C91" s="65">
        <v>2019</v>
      </c>
      <c r="D91" s="65" t="s">
        <v>852</v>
      </c>
    </row>
    <row r="92" spans="1:4" x14ac:dyDescent="0.25">
      <c r="A92" s="66" t="s">
        <v>7</v>
      </c>
      <c r="B92" s="66" t="s">
        <v>173</v>
      </c>
      <c r="C92" s="66">
        <v>2018</v>
      </c>
      <c r="D92" s="66" t="s">
        <v>853</v>
      </c>
    </row>
    <row r="93" spans="1:4" x14ac:dyDescent="0.25">
      <c r="A93" s="65" t="s">
        <v>7</v>
      </c>
      <c r="B93" s="65" t="s">
        <v>10</v>
      </c>
      <c r="C93" s="65">
        <v>2017</v>
      </c>
      <c r="D93" s="65" t="s">
        <v>854</v>
      </c>
    </row>
    <row r="94" spans="1:4" x14ac:dyDescent="0.25">
      <c r="A94" s="66" t="s">
        <v>7</v>
      </c>
      <c r="B94" s="66" t="s">
        <v>62</v>
      </c>
      <c r="C94" s="66">
        <v>2018</v>
      </c>
      <c r="D94" s="66" t="s">
        <v>801</v>
      </c>
    </row>
    <row r="95" spans="1:4" x14ac:dyDescent="0.25">
      <c r="A95" s="65" t="s">
        <v>7</v>
      </c>
      <c r="B95" s="65" t="s">
        <v>10</v>
      </c>
      <c r="C95" s="65">
        <v>2019</v>
      </c>
      <c r="D95" s="65" t="s">
        <v>855</v>
      </c>
    </row>
    <row r="96" spans="1:4" x14ac:dyDescent="0.25">
      <c r="A96" s="66" t="s">
        <v>7</v>
      </c>
      <c r="B96" s="66" t="s">
        <v>10</v>
      </c>
      <c r="C96" s="66">
        <v>2020</v>
      </c>
      <c r="D96" s="66" t="s">
        <v>856</v>
      </c>
    </row>
    <row r="97" spans="1:4" x14ac:dyDescent="0.25">
      <c r="A97" s="65" t="s">
        <v>7</v>
      </c>
      <c r="B97" s="65" t="s">
        <v>10</v>
      </c>
      <c r="C97" s="65">
        <v>2020</v>
      </c>
      <c r="D97" s="65" t="s">
        <v>857</v>
      </c>
    </row>
    <row r="98" spans="1:4" x14ac:dyDescent="0.25">
      <c r="A98" s="66" t="s">
        <v>7</v>
      </c>
      <c r="B98" s="66" t="s">
        <v>10</v>
      </c>
      <c r="C98" s="66">
        <v>2020</v>
      </c>
      <c r="D98" s="66" t="s">
        <v>858</v>
      </c>
    </row>
    <row r="99" spans="1:4" x14ac:dyDescent="0.25">
      <c r="A99" s="65" t="s">
        <v>7</v>
      </c>
      <c r="B99" s="65" t="s">
        <v>173</v>
      </c>
      <c r="C99" s="65">
        <v>2019</v>
      </c>
      <c r="D99" s="65" t="s">
        <v>859</v>
      </c>
    </row>
    <row r="100" spans="1:4" x14ac:dyDescent="0.25">
      <c r="A100" s="66" t="s">
        <v>7</v>
      </c>
      <c r="B100" s="66" t="s">
        <v>10</v>
      </c>
      <c r="C100" s="66">
        <v>2020</v>
      </c>
      <c r="D100" s="66" t="s">
        <v>860</v>
      </c>
    </row>
    <row r="101" spans="1:4" x14ac:dyDescent="0.25">
      <c r="A101" s="65" t="s">
        <v>7</v>
      </c>
      <c r="B101" s="65" t="s">
        <v>62</v>
      </c>
      <c r="C101" s="65">
        <v>2019</v>
      </c>
      <c r="D101" s="65" t="s">
        <v>861</v>
      </c>
    </row>
    <row r="102" spans="1:4" x14ac:dyDescent="0.25">
      <c r="A102" s="66" t="s">
        <v>255</v>
      </c>
      <c r="B102" s="66" t="s">
        <v>256</v>
      </c>
      <c r="C102" s="66">
        <v>2020</v>
      </c>
      <c r="D102" s="66" t="s">
        <v>257</v>
      </c>
    </row>
    <row r="103" spans="1:4" x14ac:dyDescent="0.25">
      <c r="A103" s="65" t="s">
        <v>255</v>
      </c>
      <c r="B103" s="65" t="s">
        <v>261</v>
      </c>
      <c r="C103" s="65">
        <v>2017</v>
      </c>
      <c r="D103" s="65" t="s">
        <v>262</v>
      </c>
    </row>
    <row r="104" spans="1:4" x14ac:dyDescent="0.25">
      <c r="A104" s="66" t="s">
        <v>255</v>
      </c>
      <c r="B104" s="66" t="s">
        <v>266</v>
      </c>
      <c r="C104" s="66">
        <v>2018</v>
      </c>
      <c r="D104" s="66" t="s">
        <v>267</v>
      </c>
    </row>
    <row r="105" spans="1:4" x14ac:dyDescent="0.25">
      <c r="A105" s="65" t="s">
        <v>255</v>
      </c>
      <c r="B105" s="65" t="s">
        <v>266</v>
      </c>
      <c r="C105" s="65">
        <v>2019</v>
      </c>
      <c r="D105" s="65" t="s">
        <v>271</v>
      </c>
    </row>
    <row r="106" spans="1:4" x14ac:dyDescent="0.25">
      <c r="A106" s="66" t="s">
        <v>255</v>
      </c>
      <c r="B106" s="66" t="s">
        <v>275</v>
      </c>
      <c r="C106" s="66">
        <v>2017</v>
      </c>
      <c r="D106" s="66" t="s">
        <v>276</v>
      </c>
    </row>
    <row r="107" spans="1:4" x14ac:dyDescent="0.25">
      <c r="A107" s="65" t="s">
        <v>255</v>
      </c>
      <c r="B107" s="65" t="s">
        <v>256</v>
      </c>
      <c r="C107" s="65">
        <v>2018</v>
      </c>
      <c r="D107" s="65" t="s">
        <v>280</v>
      </c>
    </row>
    <row r="108" spans="1:4" x14ac:dyDescent="0.25">
      <c r="A108" s="66" t="s">
        <v>255</v>
      </c>
      <c r="B108" s="66" t="s">
        <v>284</v>
      </c>
      <c r="C108" s="66">
        <v>2018</v>
      </c>
      <c r="D108" s="66" t="s">
        <v>285</v>
      </c>
    </row>
    <row r="109" spans="1:4" x14ac:dyDescent="0.25">
      <c r="A109" s="65" t="s">
        <v>255</v>
      </c>
      <c r="B109" s="65" t="s">
        <v>275</v>
      </c>
      <c r="C109" s="65">
        <v>2020</v>
      </c>
      <c r="D109" s="65" t="s">
        <v>288</v>
      </c>
    </row>
    <row r="110" spans="1:4" x14ac:dyDescent="0.25">
      <c r="A110" s="66" t="s">
        <v>255</v>
      </c>
      <c r="B110" s="66" t="s">
        <v>266</v>
      </c>
      <c r="C110" s="66">
        <v>2017</v>
      </c>
      <c r="D110" s="66" t="s">
        <v>292</v>
      </c>
    </row>
    <row r="111" spans="1:4" x14ac:dyDescent="0.25">
      <c r="A111" s="65" t="s">
        <v>255</v>
      </c>
      <c r="B111" s="65" t="s">
        <v>256</v>
      </c>
      <c r="C111" s="65">
        <v>2019</v>
      </c>
      <c r="D111" s="65" t="s">
        <v>296</v>
      </c>
    </row>
    <row r="112" spans="1:4" x14ac:dyDescent="0.25">
      <c r="A112" s="66" t="s">
        <v>255</v>
      </c>
      <c r="B112" s="66" t="s">
        <v>256</v>
      </c>
      <c r="C112" s="66">
        <v>2020</v>
      </c>
      <c r="D112" s="66" t="s">
        <v>299</v>
      </c>
    </row>
    <row r="113" spans="1:4" x14ac:dyDescent="0.25">
      <c r="A113" s="65" t="s">
        <v>255</v>
      </c>
      <c r="B113" s="65" t="s">
        <v>275</v>
      </c>
      <c r="C113" s="65">
        <v>2019</v>
      </c>
      <c r="D113" s="65" t="s">
        <v>303</v>
      </c>
    </row>
    <row r="114" spans="1:4" x14ac:dyDescent="0.25">
      <c r="A114" s="66" t="s">
        <v>255</v>
      </c>
      <c r="B114" s="66" t="s">
        <v>256</v>
      </c>
      <c r="C114" s="66">
        <v>2020</v>
      </c>
      <c r="D114" s="66" t="s">
        <v>307</v>
      </c>
    </row>
    <row r="115" spans="1:4" x14ac:dyDescent="0.25">
      <c r="A115" s="65" t="s">
        <v>255</v>
      </c>
      <c r="B115" s="65" t="s">
        <v>275</v>
      </c>
      <c r="C115" s="65">
        <v>2020</v>
      </c>
      <c r="D115" s="65" t="s">
        <v>311</v>
      </c>
    </row>
    <row r="116" spans="1:4" x14ac:dyDescent="0.25">
      <c r="A116" s="66" t="s">
        <v>255</v>
      </c>
      <c r="B116" s="66" t="s">
        <v>275</v>
      </c>
      <c r="C116" s="66">
        <v>2017</v>
      </c>
      <c r="D116" s="66" t="s">
        <v>315</v>
      </c>
    </row>
    <row r="117" spans="1:4" x14ac:dyDescent="0.25">
      <c r="A117" s="65" t="s">
        <v>255</v>
      </c>
      <c r="B117" s="65" t="s">
        <v>319</v>
      </c>
      <c r="C117" s="65">
        <v>2019</v>
      </c>
      <c r="D117" s="65" t="s">
        <v>320</v>
      </c>
    </row>
    <row r="118" spans="1:4" x14ac:dyDescent="0.25">
      <c r="A118" s="66" t="s">
        <v>255</v>
      </c>
      <c r="B118" s="66" t="s">
        <v>256</v>
      </c>
      <c r="C118" s="66">
        <v>2018</v>
      </c>
      <c r="D118" s="66" t="s">
        <v>323</v>
      </c>
    </row>
    <row r="119" spans="1:4" x14ac:dyDescent="0.25">
      <c r="A119" s="65" t="s">
        <v>255</v>
      </c>
      <c r="B119" s="65" t="s">
        <v>327</v>
      </c>
      <c r="C119" s="65">
        <v>2017</v>
      </c>
      <c r="D119" s="65" t="s">
        <v>328</v>
      </c>
    </row>
    <row r="120" spans="1:4" x14ac:dyDescent="0.25">
      <c r="A120" s="66" t="s">
        <v>255</v>
      </c>
      <c r="B120" s="66" t="s">
        <v>275</v>
      </c>
      <c r="C120" s="66">
        <v>2020</v>
      </c>
      <c r="D120" s="66" t="s">
        <v>332</v>
      </c>
    </row>
    <row r="121" spans="1:4" x14ac:dyDescent="0.25">
      <c r="A121" s="65" t="s">
        <v>255</v>
      </c>
      <c r="B121" s="65" t="s">
        <v>256</v>
      </c>
      <c r="C121" s="65">
        <v>2019</v>
      </c>
      <c r="D121" s="65" t="s">
        <v>336</v>
      </c>
    </row>
    <row r="122" spans="1:4" x14ac:dyDescent="0.25">
      <c r="A122" s="66" t="s">
        <v>255</v>
      </c>
      <c r="B122" s="66" t="s">
        <v>256</v>
      </c>
      <c r="C122" s="66">
        <v>2017</v>
      </c>
      <c r="D122" s="66" t="s">
        <v>340</v>
      </c>
    </row>
    <row r="123" spans="1:4" x14ac:dyDescent="0.25">
      <c r="A123" s="65" t="s">
        <v>255</v>
      </c>
      <c r="B123" s="65" t="s">
        <v>344</v>
      </c>
      <c r="C123" s="65">
        <v>2017</v>
      </c>
      <c r="D123" s="65" t="s">
        <v>345</v>
      </c>
    </row>
    <row r="124" spans="1:4" x14ac:dyDescent="0.25">
      <c r="A124" s="66" t="s">
        <v>255</v>
      </c>
      <c r="B124" s="66" t="s">
        <v>256</v>
      </c>
      <c r="C124" s="66">
        <v>2018</v>
      </c>
      <c r="D124" s="66" t="s">
        <v>349</v>
      </c>
    </row>
    <row r="125" spans="1:4" x14ac:dyDescent="0.25">
      <c r="A125" s="65" t="s">
        <v>255</v>
      </c>
      <c r="B125" s="65" t="s">
        <v>319</v>
      </c>
      <c r="C125" s="65">
        <v>2020</v>
      </c>
      <c r="D125" s="65" t="s">
        <v>353</v>
      </c>
    </row>
    <row r="126" spans="1:4" x14ac:dyDescent="0.25">
      <c r="A126" s="66" t="s">
        <v>255</v>
      </c>
      <c r="B126" s="66" t="s">
        <v>275</v>
      </c>
      <c r="C126" s="66">
        <v>2018</v>
      </c>
      <c r="D126" s="66" t="s">
        <v>357</v>
      </c>
    </row>
    <row r="127" spans="1:4" x14ac:dyDescent="0.25">
      <c r="A127" s="65" t="s">
        <v>255</v>
      </c>
      <c r="B127" s="65" t="s">
        <v>327</v>
      </c>
      <c r="C127" s="65">
        <v>2018</v>
      </c>
      <c r="D127" s="65" t="s">
        <v>361</v>
      </c>
    </row>
    <row r="128" spans="1:4" x14ac:dyDescent="0.25">
      <c r="A128" s="66" t="s">
        <v>255</v>
      </c>
      <c r="B128" s="66" t="s">
        <v>275</v>
      </c>
      <c r="C128" s="66">
        <v>2018</v>
      </c>
      <c r="D128" s="66" t="s">
        <v>365</v>
      </c>
    </row>
    <row r="129" spans="1:4" x14ac:dyDescent="0.25">
      <c r="A129" s="65" t="s">
        <v>255</v>
      </c>
      <c r="B129" s="65" t="s">
        <v>266</v>
      </c>
      <c r="C129" s="65">
        <v>2019</v>
      </c>
      <c r="D129" s="65" t="s">
        <v>369</v>
      </c>
    </row>
    <row r="130" spans="1:4" x14ac:dyDescent="0.25">
      <c r="A130" s="66" t="s">
        <v>255</v>
      </c>
      <c r="B130" s="66" t="s">
        <v>275</v>
      </c>
      <c r="C130" s="66">
        <v>2018</v>
      </c>
      <c r="D130" s="66" t="s">
        <v>372</v>
      </c>
    </row>
    <row r="131" spans="1:4" x14ac:dyDescent="0.25">
      <c r="A131" s="65" t="s">
        <v>255</v>
      </c>
      <c r="B131" s="65" t="s">
        <v>275</v>
      </c>
      <c r="C131" s="65">
        <v>2020</v>
      </c>
      <c r="D131" s="65" t="s">
        <v>375</v>
      </c>
    </row>
    <row r="132" spans="1:4" x14ac:dyDescent="0.25">
      <c r="A132" s="66" t="s">
        <v>255</v>
      </c>
      <c r="B132" s="66" t="s">
        <v>275</v>
      </c>
      <c r="C132" s="66">
        <v>2020</v>
      </c>
      <c r="D132" s="66" t="s">
        <v>379</v>
      </c>
    </row>
    <row r="133" spans="1:4" x14ac:dyDescent="0.25">
      <c r="A133" s="65" t="s">
        <v>255</v>
      </c>
      <c r="B133" s="65" t="s">
        <v>256</v>
      </c>
      <c r="C133" s="65">
        <v>2018</v>
      </c>
      <c r="D133" s="65" t="s">
        <v>383</v>
      </c>
    </row>
    <row r="134" spans="1:4" x14ac:dyDescent="0.25">
      <c r="A134" s="66" t="s">
        <v>255</v>
      </c>
      <c r="B134" s="66" t="s">
        <v>256</v>
      </c>
      <c r="C134" s="66">
        <v>2018</v>
      </c>
      <c r="D134" s="66" t="s">
        <v>387</v>
      </c>
    </row>
    <row r="135" spans="1:4" x14ac:dyDescent="0.25">
      <c r="A135" s="65" t="s">
        <v>255</v>
      </c>
      <c r="B135" s="65" t="s">
        <v>256</v>
      </c>
      <c r="C135" s="65">
        <v>2019</v>
      </c>
      <c r="D135" s="65" t="s">
        <v>391</v>
      </c>
    </row>
    <row r="136" spans="1:4" x14ac:dyDescent="0.25">
      <c r="A136" s="66" t="s">
        <v>255</v>
      </c>
      <c r="B136" s="66" t="s">
        <v>327</v>
      </c>
      <c r="C136" s="66">
        <v>2018</v>
      </c>
      <c r="D136" s="66" t="s">
        <v>395</v>
      </c>
    </row>
    <row r="137" spans="1:4" x14ac:dyDescent="0.25">
      <c r="A137" s="65" t="s">
        <v>255</v>
      </c>
      <c r="B137" s="65" t="s">
        <v>256</v>
      </c>
      <c r="C137" s="65">
        <v>2019</v>
      </c>
      <c r="D137" s="65" t="s">
        <v>399</v>
      </c>
    </row>
    <row r="138" spans="1:4" x14ac:dyDescent="0.25">
      <c r="A138" s="66" t="s">
        <v>255</v>
      </c>
      <c r="B138" s="66" t="s">
        <v>344</v>
      </c>
      <c r="C138" s="66">
        <v>2019</v>
      </c>
      <c r="D138" s="66" t="s">
        <v>403</v>
      </c>
    </row>
    <row r="139" spans="1:4" x14ac:dyDescent="0.25">
      <c r="A139" s="65" t="s">
        <v>255</v>
      </c>
      <c r="B139" s="65" t="s">
        <v>256</v>
      </c>
      <c r="C139" s="65">
        <v>2018</v>
      </c>
      <c r="D139" s="65" t="s">
        <v>407</v>
      </c>
    </row>
    <row r="140" spans="1:4" x14ac:dyDescent="0.25">
      <c r="A140" s="66" t="s">
        <v>255</v>
      </c>
      <c r="B140" s="66" t="s">
        <v>266</v>
      </c>
      <c r="C140" s="66">
        <v>2017</v>
      </c>
      <c r="D140" s="66" t="s">
        <v>411</v>
      </c>
    </row>
    <row r="141" spans="1:4" x14ac:dyDescent="0.25">
      <c r="A141" s="65" t="s">
        <v>255</v>
      </c>
      <c r="B141" s="65" t="s">
        <v>275</v>
      </c>
      <c r="C141" s="65">
        <v>2018</v>
      </c>
      <c r="D141" s="65" t="s">
        <v>415</v>
      </c>
    </row>
    <row r="142" spans="1:4" x14ac:dyDescent="0.25">
      <c r="A142" s="66" t="s">
        <v>255</v>
      </c>
      <c r="B142" s="66" t="s">
        <v>256</v>
      </c>
      <c r="C142" s="66">
        <v>2020</v>
      </c>
      <c r="D142" s="66" t="s">
        <v>418</v>
      </c>
    </row>
    <row r="143" spans="1:4" x14ac:dyDescent="0.25">
      <c r="A143" s="65" t="s">
        <v>255</v>
      </c>
      <c r="B143" s="65" t="s">
        <v>319</v>
      </c>
      <c r="C143" s="65">
        <v>2018</v>
      </c>
      <c r="D143" s="65" t="s">
        <v>422</v>
      </c>
    </row>
    <row r="144" spans="1:4" x14ac:dyDescent="0.25">
      <c r="A144" s="66" t="s">
        <v>255</v>
      </c>
      <c r="B144" s="66" t="s">
        <v>256</v>
      </c>
      <c r="C144" s="66">
        <v>2018</v>
      </c>
      <c r="D144" s="66" t="s">
        <v>426</v>
      </c>
    </row>
    <row r="145" spans="1:4" x14ac:dyDescent="0.25">
      <c r="A145" s="65" t="s">
        <v>255</v>
      </c>
      <c r="B145" s="65" t="s">
        <v>256</v>
      </c>
      <c r="C145" s="65">
        <v>2020</v>
      </c>
      <c r="D145" s="65" t="s">
        <v>429</v>
      </c>
    </row>
    <row r="146" spans="1:4" x14ac:dyDescent="0.25">
      <c r="A146" s="66" t="s">
        <v>255</v>
      </c>
      <c r="B146" s="66" t="s">
        <v>256</v>
      </c>
      <c r="C146" s="66">
        <v>2020</v>
      </c>
      <c r="D146" s="66" t="s">
        <v>433</v>
      </c>
    </row>
    <row r="147" spans="1:4" x14ac:dyDescent="0.25">
      <c r="A147" s="65" t="s">
        <v>255</v>
      </c>
      <c r="B147" s="65" t="s">
        <v>275</v>
      </c>
      <c r="C147" s="65">
        <v>2019</v>
      </c>
      <c r="D147" s="65" t="s">
        <v>437</v>
      </c>
    </row>
    <row r="148" spans="1:4" x14ac:dyDescent="0.25">
      <c r="A148" s="66" t="s">
        <v>255</v>
      </c>
      <c r="B148" s="66" t="s">
        <v>256</v>
      </c>
      <c r="C148" s="66">
        <v>2019</v>
      </c>
      <c r="D148" s="66" t="s">
        <v>441</v>
      </c>
    </row>
    <row r="149" spans="1:4" x14ac:dyDescent="0.25">
      <c r="A149" s="65" t="s">
        <v>255</v>
      </c>
      <c r="B149" s="65" t="s">
        <v>256</v>
      </c>
      <c r="C149" s="65">
        <v>2018</v>
      </c>
      <c r="D149" s="65" t="s">
        <v>445</v>
      </c>
    </row>
    <row r="150" spans="1:4" x14ac:dyDescent="0.25">
      <c r="A150" s="66" t="s">
        <v>255</v>
      </c>
      <c r="B150" s="66" t="s">
        <v>319</v>
      </c>
      <c r="C150" s="66">
        <v>2020</v>
      </c>
      <c r="D150" s="66" t="s">
        <v>449</v>
      </c>
    </row>
    <row r="151" spans="1:4" x14ac:dyDescent="0.25">
      <c r="A151" s="65" t="s">
        <v>255</v>
      </c>
      <c r="B151" s="65" t="s">
        <v>256</v>
      </c>
      <c r="C151" s="65">
        <v>2017</v>
      </c>
      <c r="D151" s="65" t="s">
        <v>453</v>
      </c>
    </row>
    <row r="152" spans="1:4" x14ac:dyDescent="0.25">
      <c r="A152" s="66" t="s">
        <v>255</v>
      </c>
      <c r="B152" s="66" t="s">
        <v>256</v>
      </c>
      <c r="C152" s="66">
        <v>2018</v>
      </c>
      <c r="D152" s="66" t="s">
        <v>457</v>
      </c>
    </row>
    <row r="153" spans="1:4" x14ac:dyDescent="0.25">
      <c r="A153" s="65" t="s">
        <v>255</v>
      </c>
      <c r="B153" s="65" t="s">
        <v>284</v>
      </c>
      <c r="C153" s="65">
        <v>2017</v>
      </c>
      <c r="D153" s="65" t="s">
        <v>461</v>
      </c>
    </row>
    <row r="154" spans="1:4" x14ac:dyDescent="0.25">
      <c r="A154" s="66" t="s">
        <v>255</v>
      </c>
      <c r="B154" s="66" t="s">
        <v>275</v>
      </c>
      <c r="C154" s="66">
        <v>2020</v>
      </c>
      <c r="D154" s="66" t="s">
        <v>465</v>
      </c>
    </row>
    <row r="155" spans="1:4" x14ac:dyDescent="0.25">
      <c r="A155" s="65" t="s">
        <v>255</v>
      </c>
      <c r="B155" s="65" t="s">
        <v>275</v>
      </c>
      <c r="C155" s="65">
        <v>2020</v>
      </c>
      <c r="D155" s="65" t="s">
        <v>469</v>
      </c>
    </row>
    <row r="156" spans="1:4" x14ac:dyDescent="0.25">
      <c r="A156" s="66" t="s">
        <v>255</v>
      </c>
      <c r="B156" s="66" t="s">
        <v>256</v>
      </c>
      <c r="C156" s="66">
        <v>2019</v>
      </c>
      <c r="D156" s="66" t="s">
        <v>473</v>
      </c>
    </row>
    <row r="157" spans="1:4" x14ac:dyDescent="0.25">
      <c r="A157" s="65" t="s">
        <v>255</v>
      </c>
      <c r="B157" s="65" t="s">
        <v>256</v>
      </c>
      <c r="C157" s="65">
        <v>2020</v>
      </c>
      <c r="D157" s="65" t="s">
        <v>476</v>
      </c>
    </row>
    <row r="158" spans="1:4" x14ac:dyDescent="0.25">
      <c r="A158" s="66" t="s">
        <v>255</v>
      </c>
      <c r="B158" s="66" t="s">
        <v>275</v>
      </c>
      <c r="C158" s="66">
        <v>2017</v>
      </c>
      <c r="D158" s="66" t="s">
        <v>480</v>
      </c>
    </row>
    <row r="159" spans="1:4" x14ac:dyDescent="0.25">
      <c r="A159" s="65" t="s">
        <v>255</v>
      </c>
      <c r="B159" s="65" t="s">
        <v>256</v>
      </c>
      <c r="C159" s="65">
        <v>2018</v>
      </c>
      <c r="D159" s="65" t="s">
        <v>484</v>
      </c>
    </row>
    <row r="160" spans="1:4" x14ac:dyDescent="0.25">
      <c r="A160" s="66" t="s">
        <v>255</v>
      </c>
      <c r="B160" s="66" t="s">
        <v>275</v>
      </c>
      <c r="C160" s="66">
        <v>2018</v>
      </c>
      <c r="D160" s="66" t="s">
        <v>488</v>
      </c>
    </row>
    <row r="161" spans="1:4" x14ac:dyDescent="0.25">
      <c r="A161" s="65" t="s">
        <v>255</v>
      </c>
      <c r="B161" s="65" t="s">
        <v>256</v>
      </c>
      <c r="C161" s="65">
        <v>2020</v>
      </c>
      <c r="D161" s="65" t="s">
        <v>492</v>
      </c>
    </row>
    <row r="162" spans="1:4" x14ac:dyDescent="0.25">
      <c r="A162" s="66" t="s">
        <v>255</v>
      </c>
      <c r="B162" s="66" t="s">
        <v>266</v>
      </c>
      <c r="C162" s="66">
        <v>2019</v>
      </c>
      <c r="D162" s="66" t="s">
        <v>496</v>
      </c>
    </row>
    <row r="163" spans="1:4" x14ac:dyDescent="0.25">
      <c r="A163" s="65" t="s">
        <v>255</v>
      </c>
      <c r="B163" s="65" t="s">
        <v>256</v>
      </c>
      <c r="C163" s="65">
        <v>2020</v>
      </c>
      <c r="D163" s="65" t="s">
        <v>500</v>
      </c>
    </row>
    <row r="164" spans="1:4" x14ac:dyDescent="0.25">
      <c r="A164" s="66" t="s">
        <v>255</v>
      </c>
      <c r="B164" s="66" t="s">
        <v>275</v>
      </c>
      <c r="C164" s="66">
        <v>2017</v>
      </c>
      <c r="D164" s="66" t="s">
        <v>504</v>
      </c>
    </row>
    <row r="165" spans="1:4" x14ac:dyDescent="0.25">
      <c r="A165" s="65" t="s">
        <v>255</v>
      </c>
      <c r="B165" s="65" t="s">
        <v>284</v>
      </c>
      <c r="C165" s="65">
        <v>2020</v>
      </c>
      <c r="D165" s="65" t="s">
        <v>507</v>
      </c>
    </row>
    <row r="166" spans="1:4" x14ac:dyDescent="0.25">
      <c r="A166" s="66" t="s">
        <v>255</v>
      </c>
      <c r="B166" s="66" t="s">
        <v>256</v>
      </c>
      <c r="C166" s="66">
        <v>2017</v>
      </c>
      <c r="D166" s="66" t="s">
        <v>511</v>
      </c>
    </row>
    <row r="167" spans="1:4" x14ac:dyDescent="0.25">
      <c r="A167" s="65" t="s">
        <v>255</v>
      </c>
      <c r="B167" s="65" t="s">
        <v>256</v>
      </c>
      <c r="C167" s="65">
        <v>2017</v>
      </c>
      <c r="D167" s="65" t="s">
        <v>515</v>
      </c>
    </row>
    <row r="168" spans="1:4" x14ac:dyDescent="0.25">
      <c r="A168" s="66" t="s">
        <v>255</v>
      </c>
      <c r="B168" s="66" t="s">
        <v>275</v>
      </c>
      <c r="C168" s="66">
        <v>2020</v>
      </c>
      <c r="D168" s="66" t="s">
        <v>518</v>
      </c>
    </row>
    <row r="169" spans="1:4" x14ac:dyDescent="0.25">
      <c r="A169" s="65" t="s">
        <v>255</v>
      </c>
      <c r="B169" s="65" t="s">
        <v>256</v>
      </c>
      <c r="C169" s="65">
        <v>2020</v>
      </c>
      <c r="D169" s="65" t="s">
        <v>522</v>
      </c>
    </row>
    <row r="170" spans="1:4" x14ac:dyDescent="0.25">
      <c r="A170" s="66" t="s">
        <v>255</v>
      </c>
      <c r="B170" s="66" t="s">
        <v>256</v>
      </c>
      <c r="C170" s="66">
        <v>2018</v>
      </c>
      <c r="D170" s="66" t="s">
        <v>525</v>
      </c>
    </row>
    <row r="171" spans="1:4" x14ac:dyDescent="0.25">
      <c r="A171" s="65" t="s">
        <v>255</v>
      </c>
      <c r="B171" s="65" t="s">
        <v>256</v>
      </c>
      <c r="C171" s="65">
        <v>2019</v>
      </c>
      <c r="D171" s="65" t="s">
        <v>528</v>
      </c>
    </row>
    <row r="172" spans="1:4" x14ac:dyDescent="0.25">
      <c r="A172" s="66" t="s">
        <v>255</v>
      </c>
      <c r="B172" s="66" t="s">
        <v>531</v>
      </c>
      <c r="C172" s="66">
        <v>2017</v>
      </c>
      <c r="D172" s="66" t="s">
        <v>532</v>
      </c>
    </row>
    <row r="173" spans="1:4" x14ac:dyDescent="0.25">
      <c r="A173" s="65" t="s">
        <v>255</v>
      </c>
      <c r="B173" s="65" t="s">
        <v>256</v>
      </c>
      <c r="C173" s="65">
        <v>2019</v>
      </c>
      <c r="D173" s="65" t="s">
        <v>536</v>
      </c>
    </row>
    <row r="174" spans="1:4" x14ac:dyDescent="0.25">
      <c r="A174" s="66" t="s">
        <v>255</v>
      </c>
      <c r="B174" s="66" t="s">
        <v>256</v>
      </c>
      <c r="C174" s="66">
        <v>2018</v>
      </c>
      <c r="D174" s="66" t="s">
        <v>539</v>
      </c>
    </row>
    <row r="175" spans="1:4" x14ac:dyDescent="0.25">
      <c r="A175" s="65" t="s">
        <v>255</v>
      </c>
      <c r="B175" s="65" t="s">
        <v>261</v>
      </c>
      <c r="C175" s="65">
        <v>2018</v>
      </c>
      <c r="D175" s="65" t="s">
        <v>542</v>
      </c>
    </row>
    <row r="176" spans="1:4" x14ac:dyDescent="0.25">
      <c r="A176" s="66" t="s">
        <v>255</v>
      </c>
      <c r="B176" s="66" t="s">
        <v>319</v>
      </c>
      <c r="C176" s="66">
        <v>2019</v>
      </c>
      <c r="D176" s="66" t="s">
        <v>546</v>
      </c>
    </row>
    <row r="177" spans="1:4" x14ac:dyDescent="0.25">
      <c r="A177" s="65" t="s">
        <v>255</v>
      </c>
      <c r="B177" s="65" t="s">
        <v>266</v>
      </c>
      <c r="C177" s="65">
        <v>2020</v>
      </c>
      <c r="D177" s="65" t="s">
        <v>550</v>
      </c>
    </row>
    <row r="178" spans="1:4" x14ac:dyDescent="0.25">
      <c r="A178" s="66" t="s">
        <v>255</v>
      </c>
      <c r="B178" s="66" t="s">
        <v>256</v>
      </c>
      <c r="C178" s="66">
        <v>2018</v>
      </c>
      <c r="D178" s="66" t="s">
        <v>553</v>
      </c>
    </row>
    <row r="179" spans="1:4" x14ac:dyDescent="0.25">
      <c r="A179" s="65" t="s">
        <v>255</v>
      </c>
      <c r="B179" s="65" t="s">
        <v>256</v>
      </c>
      <c r="C179" s="65">
        <v>2018</v>
      </c>
      <c r="D179" s="65" t="s">
        <v>557</v>
      </c>
    </row>
    <row r="180" spans="1:4" x14ac:dyDescent="0.25">
      <c r="A180" s="66" t="s">
        <v>255</v>
      </c>
      <c r="B180" s="66" t="s">
        <v>256</v>
      </c>
      <c r="C180" s="66">
        <v>2017</v>
      </c>
      <c r="D180" s="66" t="s">
        <v>560</v>
      </c>
    </row>
    <row r="181" spans="1:4" x14ac:dyDescent="0.25">
      <c r="A181" s="65" t="s">
        <v>255</v>
      </c>
      <c r="B181" s="65" t="s">
        <v>275</v>
      </c>
      <c r="C181" s="65">
        <v>2020</v>
      </c>
      <c r="D181" s="65" t="s">
        <v>563</v>
      </c>
    </row>
    <row r="182" spans="1:4" x14ac:dyDescent="0.25">
      <c r="A182" s="66" t="s">
        <v>255</v>
      </c>
      <c r="B182" s="66" t="s">
        <v>256</v>
      </c>
      <c r="C182" s="66">
        <v>2019</v>
      </c>
      <c r="D182" s="66" t="s">
        <v>566</v>
      </c>
    </row>
    <row r="183" spans="1:4" x14ac:dyDescent="0.25">
      <c r="A183" s="65" t="s">
        <v>255</v>
      </c>
      <c r="B183" s="65" t="s">
        <v>319</v>
      </c>
      <c r="C183" s="65">
        <v>2020</v>
      </c>
      <c r="D183" s="65" t="s">
        <v>570</v>
      </c>
    </row>
    <row r="184" spans="1:4" x14ac:dyDescent="0.25">
      <c r="A184" s="66" t="s">
        <v>255</v>
      </c>
      <c r="B184" s="66" t="s">
        <v>256</v>
      </c>
      <c r="C184" s="66">
        <v>2018</v>
      </c>
      <c r="D184" s="66" t="s">
        <v>574</v>
      </c>
    </row>
    <row r="185" spans="1:4" x14ac:dyDescent="0.25">
      <c r="A185" s="65" t="s">
        <v>255</v>
      </c>
      <c r="B185" s="65" t="s">
        <v>261</v>
      </c>
      <c r="C185" s="65">
        <v>2018</v>
      </c>
      <c r="D185" s="65" t="s">
        <v>578</v>
      </c>
    </row>
    <row r="186" spans="1:4" x14ac:dyDescent="0.25">
      <c r="A186" s="66" t="s">
        <v>255</v>
      </c>
      <c r="B186" s="66" t="s">
        <v>256</v>
      </c>
      <c r="C186" s="66">
        <v>2019</v>
      </c>
      <c r="D186" s="66" t="s">
        <v>582</v>
      </c>
    </row>
    <row r="187" spans="1:4" x14ac:dyDescent="0.25">
      <c r="A187" s="65" t="s">
        <v>255</v>
      </c>
      <c r="B187" s="65" t="s">
        <v>256</v>
      </c>
      <c r="C187" s="65">
        <v>2019</v>
      </c>
      <c r="D187" s="65" t="s">
        <v>585</v>
      </c>
    </row>
    <row r="188" spans="1:4" x14ac:dyDescent="0.25">
      <c r="A188" s="66" t="s">
        <v>255</v>
      </c>
      <c r="B188" s="66" t="s">
        <v>344</v>
      </c>
      <c r="C188" s="66">
        <v>2020</v>
      </c>
      <c r="D188" s="66" t="s">
        <v>589</v>
      </c>
    </row>
    <row r="189" spans="1:4" x14ac:dyDescent="0.25">
      <c r="A189" s="65" t="s">
        <v>255</v>
      </c>
      <c r="B189" s="65" t="s">
        <v>256</v>
      </c>
      <c r="C189" s="65">
        <v>2017</v>
      </c>
      <c r="D189" s="65" t="s">
        <v>591</v>
      </c>
    </row>
    <row r="190" spans="1:4" x14ac:dyDescent="0.25">
      <c r="A190" s="66" t="s">
        <v>255</v>
      </c>
      <c r="B190" s="66" t="s">
        <v>256</v>
      </c>
      <c r="C190" s="66">
        <v>2018</v>
      </c>
      <c r="D190" s="66" t="s">
        <v>594</v>
      </c>
    </row>
    <row r="191" spans="1:4" x14ac:dyDescent="0.25">
      <c r="A191" s="65" t="s">
        <v>255</v>
      </c>
      <c r="B191" s="65" t="s">
        <v>275</v>
      </c>
      <c r="C191" s="65">
        <v>2020</v>
      </c>
      <c r="D191" s="65" t="s">
        <v>598</v>
      </c>
    </row>
    <row r="192" spans="1:4" x14ac:dyDescent="0.25">
      <c r="A192" s="66" t="s">
        <v>255</v>
      </c>
      <c r="B192" s="66" t="s">
        <v>319</v>
      </c>
      <c r="C192" s="66">
        <v>2018</v>
      </c>
      <c r="D192" s="66" t="s">
        <v>602</v>
      </c>
    </row>
    <row r="193" spans="1:4" x14ac:dyDescent="0.25">
      <c r="A193" s="65" t="s">
        <v>255</v>
      </c>
      <c r="B193" s="65" t="s">
        <v>256</v>
      </c>
      <c r="C193" s="65">
        <v>2019</v>
      </c>
      <c r="D193" s="65" t="s">
        <v>606</v>
      </c>
    </row>
    <row r="194" spans="1:4" x14ac:dyDescent="0.25">
      <c r="A194" s="66" t="s">
        <v>255</v>
      </c>
      <c r="B194" s="66" t="s">
        <v>261</v>
      </c>
      <c r="C194" s="66">
        <v>2017</v>
      </c>
      <c r="D194" s="66" t="s">
        <v>609</v>
      </c>
    </row>
    <row r="195" spans="1:4" x14ac:dyDescent="0.25">
      <c r="A195" s="65" t="s">
        <v>255</v>
      </c>
      <c r="B195" s="65" t="s">
        <v>261</v>
      </c>
      <c r="C195" s="65">
        <v>2017</v>
      </c>
      <c r="D195" s="65" t="s">
        <v>612</v>
      </c>
    </row>
    <row r="196" spans="1:4" x14ac:dyDescent="0.25">
      <c r="A196" s="66" t="s">
        <v>255</v>
      </c>
      <c r="B196" s="66" t="s">
        <v>256</v>
      </c>
      <c r="C196" s="66">
        <v>2018</v>
      </c>
      <c r="D196" s="66" t="s">
        <v>616</v>
      </c>
    </row>
    <row r="197" spans="1:4" x14ac:dyDescent="0.25">
      <c r="A197" s="65" t="s">
        <v>255</v>
      </c>
      <c r="B197" s="65" t="s">
        <v>275</v>
      </c>
      <c r="C197" s="65">
        <v>2019</v>
      </c>
      <c r="D197" s="65" t="s">
        <v>619</v>
      </c>
    </row>
    <row r="198" spans="1:4" x14ac:dyDescent="0.25">
      <c r="A198" s="66" t="s">
        <v>255</v>
      </c>
      <c r="B198" s="66" t="s">
        <v>266</v>
      </c>
      <c r="C198" s="66">
        <v>2020</v>
      </c>
      <c r="D198" s="66" t="s">
        <v>622</v>
      </c>
    </row>
    <row r="199" spans="1:4" x14ac:dyDescent="0.25">
      <c r="A199" s="65" t="s">
        <v>255</v>
      </c>
      <c r="B199" s="65" t="s">
        <v>256</v>
      </c>
      <c r="C199" s="65">
        <v>2019</v>
      </c>
      <c r="D199" s="65" t="s">
        <v>625</v>
      </c>
    </row>
    <row r="200" spans="1:4" x14ac:dyDescent="0.25">
      <c r="A200" s="66" t="s">
        <v>255</v>
      </c>
      <c r="B200" s="66" t="s">
        <v>256</v>
      </c>
      <c r="C200" s="66">
        <v>2018</v>
      </c>
      <c r="D200" s="66" t="s">
        <v>628</v>
      </c>
    </row>
    <row r="201" spans="1:4" ht="15.75" thickBot="1" x14ac:dyDescent="0.3">
      <c r="A201" s="67" t="s">
        <v>255</v>
      </c>
      <c r="B201" s="67" t="s">
        <v>266</v>
      </c>
      <c r="C201" s="67">
        <v>2019</v>
      </c>
      <c r="D201" s="67" t="s">
        <v>632</v>
      </c>
    </row>
    <row r="202" spans="1:4" x14ac:dyDescent="0.25">
      <c r="A202" s="64" t="s">
        <v>7</v>
      </c>
      <c r="B202" s="64" t="s">
        <v>10</v>
      </c>
      <c r="C202" s="64">
        <v>2017</v>
      </c>
      <c r="D202" s="64" t="s">
        <v>11</v>
      </c>
    </row>
    <row r="203" spans="1:4" x14ac:dyDescent="0.25">
      <c r="A203" s="65" t="s">
        <v>7</v>
      </c>
      <c r="B203" s="65" t="s">
        <v>10</v>
      </c>
      <c r="C203" s="65">
        <v>2018</v>
      </c>
      <c r="D203" s="65" t="s">
        <v>12</v>
      </c>
    </row>
    <row r="204" spans="1:4" x14ac:dyDescent="0.25">
      <c r="A204" s="66" t="s">
        <v>7</v>
      </c>
      <c r="B204" s="66" t="s">
        <v>10</v>
      </c>
      <c r="C204" s="66">
        <v>2019</v>
      </c>
      <c r="D204" s="66" t="s">
        <v>20</v>
      </c>
    </row>
    <row r="205" spans="1:4" x14ac:dyDescent="0.25">
      <c r="A205" s="65" t="s">
        <v>7</v>
      </c>
      <c r="B205" s="65" t="s">
        <v>10</v>
      </c>
      <c r="C205" s="65">
        <v>2017</v>
      </c>
      <c r="D205" s="65" t="s">
        <v>23</v>
      </c>
    </row>
    <row r="206" spans="1:4" x14ac:dyDescent="0.25">
      <c r="A206" s="66" t="s">
        <v>7</v>
      </c>
      <c r="B206" s="66" t="s">
        <v>27</v>
      </c>
      <c r="C206" s="66">
        <v>2017</v>
      </c>
      <c r="D206" s="66" t="s">
        <v>28</v>
      </c>
    </row>
    <row r="207" spans="1:4" x14ac:dyDescent="0.25">
      <c r="A207" s="65" t="s">
        <v>7</v>
      </c>
      <c r="B207" s="65" t="s">
        <v>10</v>
      </c>
      <c r="C207" s="65">
        <v>2017</v>
      </c>
      <c r="D207" s="65" t="s">
        <v>29</v>
      </c>
    </row>
    <row r="208" spans="1:4" x14ac:dyDescent="0.25">
      <c r="A208" s="66" t="s">
        <v>7</v>
      </c>
      <c r="B208" s="66" t="s">
        <v>10</v>
      </c>
      <c r="C208" s="66">
        <v>2018</v>
      </c>
      <c r="D208" s="66" t="s">
        <v>36</v>
      </c>
    </row>
    <row r="209" spans="1:4" x14ac:dyDescent="0.25">
      <c r="A209" s="65" t="s">
        <v>7</v>
      </c>
      <c r="B209" s="65" t="s">
        <v>10</v>
      </c>
      <c r="C209" s="65">
        <v>2018</v>
      </c>
      <c r="D209" s="65" t="s">
        <v>24</v>
      </c>
    </row>
    <row r="210" spans="1:4" x14ac:dyDescent="0.25">
      <c r="A210" s="66" t="s">
        <v>7</v>
      </c>
      <c r="B210" s="66" t="s">
        <v>10</v>
      </c>
      <c r="C210" s="66">
        <v>2018</v>
      </c>
      <c r="D210" s="66" t="s">
        <v>37</v>
      </c>
    </row>
    <row r="211" spans="1:4" x14ac:dyDescent="0.25">
      <c r="A211" s="65" t="s">
        <v>7</v>
      </c>
      <c r="B211" s="65" t="s">
        <v>10</v>
      </c>
      <c r="C211" s="65">
        <v>2019</v>
      </c>
      <c r="D211" s="65" t="s">
        <v>48</v>
      </c>
    </row>
    <row r="212" spans="1:4" x14ac:dyDescent="0.25">
      <c r="A212" s="66" t="s">
        <v>7</v>
      </c>
      <c r="B212" s="66" t="s">
        <v>10</v>
      </c>
      <c r="C212" s="66">
        <v>2017</v>
      </c>
      <c r="D212" s="66" t="s">
        <v>52</v>
      </c>
    </row>
    <row r="213" spans="1:4" x14ac:dyDescent="0.25">
      <c r="A213" s="65" t="s">
        <v>7</v>
      </c>
      <c r="B213" s="65" t="s">
        <v>10</v>
      </c>
      <c r="C213" s="65">
        <v>2017</v>
      </c>
      <c r="D213" s="65" t="s">
        <v>28</v>
      </c>
    </row>
    <row r="214" spans="1:4" x14ac:dyDescent="0.25">
      <c r="A214" s="66" t="s">
        <v>7</v>
      </c>
      <c r="B214" s="66" t="s">
        <v>10</v>
      </c>
      <c r="C214" s="66">
        <v>2018</v>
      </c>
      <c r="D214" s="66" t="s">
        <v>12</v>
      </c>
    </row>
    <row r="215" spans="1:4" x14ac:dyDescent="0.25">
      <c r="A215" s="65" t="s">
        <v>7</v>
      </c>
      <c r="B215" s="65" t="s">
        <v>62</v>
      </c>
      <c r="C215" s="65">
        <v>2019</v>
      </c>
      <c r="D215" s="65" t="s">
        <v>36</v>
      </c>
    </row>
    <row r="216" spans="1:4" x14ac:dyDescent="0.25">
      <c r="A216" s="66" t="s">
        <v>7</v>
      </c>
      <c r="B216" s="66" t="s">
        <v>10</v>
      </c>
      <c r="C216" s="66">
        <v>2020</v>
      </c>
      <c r="D216" s="66" t="s">
        <v>67</v>
      </c>
    </row>
    <row r="217" spans="1:4" x14ac:dyDescent="0.25">
      <c r="A217" s="65" t="s">
        <v>7</v>
      </c>
      <c r="B217" s="65" t="s">
        <v>62</v>
      </c>
      <c r="C217" s="65">
        <v>2018</v>
      </c>
      <c r="D217" s="65" t="s">
        <v>11</v>
      </c>
    </row>
    <row r="218" spans="1:4" x14ac:dyDescent="0.25">
      <c r="A218" s="66" t="s">
        <v>7</v>
      </c>
      <c r="B218" s="66" t="s">
        <v>10</v>
      </c>
      <c r="C218" s="66">
        <v>2020</v>
      </c>
      <c r="D218" s="66" t="s">
        <v>11</v>
      </c>
    </row>
    <row r="219" spans="1:4" x14ac:dyDescent="0.25">
      <c r="A219" s="65" t="s">
        <v>7</v>
      </c>
      <c r="B219" s="65" t="s">
        <v>10</v>
      </c>
      <c r="C219" s="65">
        <v>2019</v>
      </c>
      <c r="D219" s="65" t="s">
        <v>75</v>
      </c>
    </row>
    <row r="220" spans="1:4" x14ac:dyDescent="0.25">
      <c r="A220" s="66" t="s">
        <v>7</v>
      </c>
      <c r="B220" s="66" t="s">
        <v>10</v>
      </c>
      <c r="C220" s="66">
        <v>2020</v>
      </c>
      <c r="D220" s="66" t="s">
        <v>77</v>
      </c>
    </row>
    <row r="221" spans="1:4" x14ac:dyDescent="0.25">
      <c r="A221" s="65" t="s">
        <v>7</v>
      </c>
      <c r="B221" s="65" t="s">
        <v>10</v>
      </c>
      <c r="C221" s="65">
        <v>2019</v>
      </c>
      <c r="D221" s="65" t="s">
        <v>55</v>
      </c>
    </row>
    <row r="222" spans="1:4" x14ac:dyDescent="0.25">
      <c r="A222" s="66" t="s">
        <v>7</v>
      </c>
      <c r="B222" s="66" t="s">
        <v>10</v>
      </c>
      <c r="C222" s="66">
        <v>2020</v>
      </c>
      <c r="D222" s="66" t="s">
        <v>63</v>
      </c>
    </row>
    <row r="223" spans="1:4" x14ac:dyDescent="0.25">
      <c r="A223" s="65" t="s">
        <v>7</v>
      </c>
      <c r="B223" s="65" t="s">
        <v>10</v>
      </c>
      <c r="C223" s="65">
        <v>2018</v>
      </c>
      <c r="D223" s="65" t="s">
        <v>52</v>
      </c>
    </row>
    <row r="224" spans="1:4" x14ac:dyDescent="0.25">
      <c r="A224" s="66" t="s">
        <v>7</v>
      </c>
      <c r="B224" s="66" t="s">
        <v>10</v>
      </c>
      <c r="C224" s="66">
        <v>2018</v>
      </c>
      <c r="D224" s="66" t="s">
        <v>28</v>
      </c>
    </row>
    <row r="225" spans="1:4" x14ac:dyDescent="0.25">
      <c r="A225" s="65" t="s">
        <v>7</v>
      </c>
      <c r="B225" s="65" t="s">
        <v>10</v>
      </c>
      <c r="C225" s="65">
        <v>2018</v>
      </c>
      <c r="D225" s="65" t="s">
        <v>48</v>
      </c>
    </row>
    <row r="226" spans="1:4" x14ac:dyDescent="0.25">
      <c r="A226" s="66" t="s">
        <v>7</v>
      </c>
      <c r="B226" s="66" t="s">
        <v>10</v>
      </c>
      <c r="C226" s="66">
        <v>2019</v>
      </c>
      <c r="D226" s="66" t="s">
        <v>24</v>
      </c>
    </row>
    <row r="227" spans="1:4" x14ac:dyDescent="0.25">
      <c r="A227" s="65" t="s">
        <v>7</v>
      </c>
      <c r="B227" s="65" t="s">
        <v>10</v>
      </c>
      <c r="C227" s="65">
        <v>2018</v>
      </c>
      <c r="D227" s="65" t="s">
        <v>67</v>
      </c>
    </row>
    <row r="228" spans="1:4" x14ac:dyDescent="0.25">
      <c r="A228" s="66" t="s">
        <v>7</v>
      </c>
      <c r="B228" s="66" t="s">
        <v>97</v>
      </c>
      <c r="C228" s="66">
        <v>2018</v>
      </c>
      <c r="D228" s="66" t="s">
        <v>75</v>
      </c>
    </row>
    <row r="229" spans="1:4" x14ac:dyDescent="0.25">
      <c r="A229" s="65" t="s">
        <v>7</v>
      </c>
      <c r="B229" s="65" t="s">
        <v>10</v>
      </c>
      <c r="C229" s="65">
        <v>2020</v>
      </c>
      <c r="D229" s="65" t="s">
        <v>11</v>
      </c>
    </row>
    <row r="230" spans="1:4" x14ac:dyDescent="0.25">
      <c r="A230" s="66" t="s">
        <v>7</v>
      </c>
      <c r="B230" s="66" t="s">
        <v>10</v>
      </c>
      <c r="C230" s="66">
        <v>2020</v>
      </c>
      <c r="D230" s="66" t="s">
        <v>29</v>
      </c>
    </row>
    <row r="231" spans="1:4" x14ac:dyDescent="0.25">
      <c r="A231" s="65" t="s">
        <v>7</v>
      </c>
      <c r="B231" s="65" t="s">
        <v>62</v>
      </c>
      <c r="C231" s="65">
        <v>2018</v>
      </c>
      <c r="D231" s="65" t="s">
        <v>29</v>
      </c>
    </row>
    <row r="232" spans="1:4" x14ac:dyDescent="0.25">
      <c r="A232" s="66" t="s">
        <v>7</v>
      </c>
      <c r="B232" s="66" t="s">
        <v>62</v>
      </c>
      <c r="C232" s="66">
        <v>2017</v>
      </c>
      <c r="D232" s="66" t="s">
        <v>16</v>
      </c>
    </row>
    <row r="233" spans="1:4" x14ac:dyDescent="0.25">
      <c r="A233" s="65" t="s">
        <v>7</v>
      </c>
      <c r="B233" s="65" t="s">
        <v>62</v>
      </c>
      <c r="C233" s="65">
        <v>2018</v>
      </c>
      <c r="D233" s="65" t="s">
        <v>110</v>
      </c>
    </row>
    <row r="234" spans="1:4" x14ac:dyDescent="0.25">
      <c r="A234" s="66" t="s">
        <v>7</v>
      </c>
      <c r="B234" s="66" t="s">
        <v>220</v>
      </c>
      <c r="C234" s="66">
        <v>2018</v>
      </c>
      <c r="D234" s="66" t="s">
        <v>106</v>
      </c>
    </row>
    <row r="235" spans="1:4" x14ac:dyDescent="0.25">
      <c r="A235" s="65" t="s">
        <v>7</v>
      </c>
      <c r="B235" s="65" t="s">
        <v>10</v>
      </c>
      <c r="C235" s="65">
        <v>2018</v>
      </c>
      <c r="D235" s="65" t="s">
        <v>41</v>
      </c>
    </row>
    <row r="236" spans="1:4" x14ac:dyDescent="0.25">
      <c r="A236" s="66" t="s">
        <v>7</v>
      </c>
      <c r="B236" s="66" t="s">
        <v>10</v>
      </c>
      <c r="C236" s="66">
        <v>2018</v>
      </c>
      <c r="D236" s="66" t="s">
        <v>63</v>
      </c>
    </row>
    <row r="237" spans="1:4" x14ac:dyDescent="0.25">
      <c r="A237" s="65" t="s">
        <v>7</v>
      </c>
      <c r="B237" s="65" t="s">
        <v>97</v>
      </c>
      <c r="C237" s="65">
        <v>2017</v>
      </c>
      <c r="D237" s="65" t="s">
        <v>16</v>
      </c>
    </row>
    <row r="238" spans="1:4" x14ac:dyDescent="0.25">
      <c r="A238" s="66" t="s">
        <v>7</v>
      </c>
      <c r="B238" s="66" t="s">
        <v>10</v>
      </c>
      <c r="C238" s="66">
        <v>2020</v>
      </c>
      <c r="D238" s="66" t="s">
        <v>77</v>
      </c>
    </row>
    <row r="239" spans="1:4" x14ac:dyDescent="0.25">
      <c r="A239" s="65" t="s">
        <v>7</v>
      </c>
      <c r="B239" s="65" t="s">
        <v>62</v>
      </c>
      <c r="C239" s="65">
        <v>2020</v>
      </c>
      <c r="D239" s="65" t="s">
        <v>52</v>
      </c>
    </row>
    <row r="240" spans="1:4" x14ac:dyDescent="0.25">
      <c r="A240" s="66" t="s">
        <v>7</v>
      </c>
      <c r="B240" s="66" t="s">
        <v>10</v>
      </c>
      <c r="C240" s="66">
        <v>2018</v>
      </c>
      <c r="D240" s="66" t="s">
        <v>106</v>
      </c>
    </row>
    <row r="241" spans="1:4" x14ac:dyDescent="0.25">
      <c r="A241" s="65" t="s">
        <v>7</v>
      </c>
      <c r="B241" s="65" t="s">
        <v>129</v>
      </c>
      <c r="C241" s="65">
        <v>2020</v>
      </c>
      <c r="D241" s="65" t="s">
        <v>29</v>
      </c>
    </row>
    <row r="242" spans="1:4" x14ac:dyDescent="0.25">
      <c r="A242" s="66" t="s">
        <v>7</v>
      </c>
      <c r="B242" s="66" t="s">
        <v>10</v>
      </c>
      <c r="C242" s="66">
        <v>2017</v>
      </c>
      <c r="D242" s="66" t="s">
        <v>16</v>
      </c>
    </row>
    <row r="243" spans="1:4" x14ac:dyDescent="0.25">
      <c r="A243" s="65" t="s">
        <v>7</v>
      </c>
      <c r="B243" s="65" t="s">
        <v>10</v>
      </c>
      <c r="C243" s="65">
        <v>2017</v>
      </c>
      <c r="D243" s="65" t="s">
        <v>67</v>
      </c>
    </row>
    <row r="244" spans="1:4" x14ac:dyDescent="0.25">
      <c r="A244" s="66" t="s">
        <v>7</v>
      </c>
      <c r="B244" s="66" t="s">
        <v>10</v>
      </c>
      <c r="C244" s="66">
        <v>2020</v>
      </c>
      <c r="D244" s="66" t="s">
        <v>82</v>
      </c>
    </row>
    <row r="245" spans="1:4" x14ac:dyDescent="0.25">
      <c r="A245" s="65" t="s">
        <v>7</v>
      </c>
      <c r="B245" s="65" t="s">
        <v>140</v>
      </c>
      <c r="C245" s="65">
        <v>2017</v>
      </c>
      <c r="D245" s="65" t="s">
        <v>29</v>
      </c>
    </row>
    <row r="246" spans="1:4" x14ac:dyDescent="0.25">
      <c r="A246" s="66" t="s">
        <v>7</v>
      </c>
      <c r="B246" s="66" t="s">
        <v>97</v>
      </c>
      <c r="C246" s="66">
        <v>2019</v>
      </c>
      <c r="D246" s="66" t="s">
        <v>24</v>
      </c>
    </row>
    <row r="247" spans="1:4" x14ac:dyDescent="0.25">
      <c r="A247" s="65" t="s">
        <v>7</v>
      </c>
      <c r="B247" s="65" t="s">
        <v>10</v>
      </c>
      <c r="C247" s="65">
        <v>2018</v>
      </c>
      <c r="D247" s="65" t="s">
        <v>11</v>
      </c>
    </row>
    <row r="248" spans="1:4" x14ac:dyDescent="0.25">
      <c r="A248" s="66" t="s">
        <v>7</v>
      </c>
      <c r="B248" s="66" t="s">
        <v>10</v>
      </c>
      <c r="C248" s="66">
        <v>2019</v>
      </c>
      <c r="D248" s="66" t="s">
        <v>147</v>
      </c>
    </row>
    <row r="249" spans="1:4" x14ac:dyDescent="0.25">
      <c r="A249" s="65" t="s">
        <v>7</v>
      </c>
      <c r="B249" s="65" t="s">
        <v>62</v>
      </c>
      <c r="C249" s="65">
        <v>2018</v>
      </c>
      <c r="D249" s="65" t="s">
        <v>110</v>
      </c>
    </row>
    <row r="250" spans="1:4" x14ac:dyDescent="0.25">
      <c r="A250" s="66" t="s">
        <v>7</v>
      </c>
      <c r="B250" s="66" t="s">
        <v>10</v>
      </c>
      <c r="C250" s="66">
        <v>2017</v>
      </c>
      <c r="D250" s="66" t="s">
        <v>130</v>
      </c>
    </row>
    <row r="251" spans="1:4" x14ac:dyDescent="0.25">
      <c r="A251" s="65" t="s">
        <v>7</v>
      </c>
      <c r="B251" s="65" t="s">
        <v>635</v>
      </c>
      <c r="C251" s="65">
        <v>2018</v>
      </c>
      <c r="D251" s="65" t="s">
        <v>55</v>
      </c>
    </row>
    <row r="252" spans="1:4" x14ac:dyDescent="0.25">
      <c r="A252" s="66" t="s">
        <v>7</v>
      </c>
      <c r="B252" s="66" t="s">
        <v>10</v>
      </c>
      <c r="C252" s="66">
        <v>2017</v>
      </c>
      <c r="D252" s="66" t="s">
        <v>124</v>
      </c>
    </row>
    <row r="253" spans="1:4" x14ac:dyDescent="0.25">
      <c r="A253" s="65" t="s">
        <v>7</v>
      </c>
      <c r="B253" s="65" t="s">
        <v>62</v>
      </c>
      <c r="C253" s="65">
        <v>2019</v>
      </c>
      <c r="D253" s="65" t="s">
        <v>33</v>
      </c>
    </row>
    <row r="254" spans="1:4" x14ac:dyDescent="0.25">
      <c r="A254" s="66" t="s">
        <v>7</v>
      </c>
      <c r="B254" s="66" t="s">
        <v>10</v>
      </c>
      <c r="C254" s="66">
        <v>2020</v>
      </c>
      <c r="D254" s="66" t="s">
        <v>88</v>
      </c>
    </row>
    <row r="255" spans="1:4" x14ac:dyDescent="0.25">
      <c r="A255" s="65" t="s">
        <v>7</v>
      </c>
      <c r="B255" s="65" t="s">
        <v>10</v>
      </c>
      <c r="C255" s="65">
        <v>2018</v>
      </c>
      <c r="D255" s="65" t="s">
        <v>115</v>
      </c>
    </row>
    <row r="256" spans="1:4" x14ac:dyDescent="0.25">
      <c r="A256" s="66" t="s">
        <v>7</v>
      </c>
      <c r="B256" s="66" t="s">
        <v>62</v>
      </c>
      <c r="C256" s="66">
        <v>2018</v>
      </c>
      <c r="D256" s="66" t="s">
        <v>147</v>
      </c>
    </row>
    <row r="257" spans="1:4" x14ac:dyDescent="0.25">
      <c r="A257" s="65" t="s">
        <v>7</v>
      </c>
      <c r="B257" s="65" t="s">
        <v>62</v>
      </c>
      <c r="C257" s="65">
        <v>2019</v>
      </c>
      <c r="D257" s="65" t="s">
        <v>82</v>
      </c>
    </row>
    <row r="258" spans="1:4" x14ac:dyDescent="0.25">
      <c r="A258" s="66" t="s">
        <v>7</v>
      </c>
      <c r="B258" s="66" t="s">
        <v>220</v>
      </c>
      <c r="C258" s="66">
        <v>2017</v>
      </c>
      <c r="D258" s="66" t="s">
        <v>82</v>
      </c>
    </row>
    <row r="259" spans="1:4" x14ac:dyDescent="0.25">
      <c r="A259" s="65" t="s">
        <v>7</v>
      </c>
      <c r="B259" s="65" t="s">
        <v>10</v>
      </c>
      <c r="C259" s="65">
        <v>2019</v>
      </c>
      <c r="D259" s="65" t="s">
        <v>16</v>
      </c>
    </row>
    <row r="260" spans="1:4" x14ac:dyDescent="0.25">
      <c r="A260" s="66" t="s">
        <v>7</v>
      </c>
      <c r="B260" s="66" t="s">
        <v>173</v>
      </c>
      <c r="C260" s="66">
        <v>2020</v>
      </c>
      <c r="D260" s="66" t="s">
        <v>115</v>
      </c>
    </row>
    <row r="261" spans="1:4" x14ac:dyDescent="0.25">
      <c r="A261" s="65" t="s">
        <v>7</v>
      </c>
      <c r="B261" s="65" t="s">
        <v>10</v>
      </c>
      <c r="C261" s="65">
        <v>2017</v>
      </c>
      <c r="D261" s="65" t="s">
        <v>106</v>
      </c>
    </row>
    <row r="262" spans="1:4" x14ac:dyDescent="0.25">
      <c r="A262" s="66" t="s">
        <v>7</v>
      </c>
      <c r="B262" s="66" t="s">
        <v>140</v>
      </c>
      <c r="C262" s="66">
        <v>2017</v>
      </c>
      <c r="D262" s="66" t="s">
        <v>147</v>
      </c>
    </row>
    <row r="263" spans="1:4" x14ac:dyDescent="0.25">
      <c r="A263" s="65" t="s">
        <v>7</v>
      </c>
      <c r="B263" s="65" t="s">
        <v>220</v>
      </c>
      <c r="C263" s="65">
        <v>2017</v>
      </c>
      <c r="D263" s="65" t="s">
        <v>115</v>
      </c>
    </row>
    <row r="264" spans="1:4" x14ac:dyDescent="0.25">
      <c r="A264" s="66" t="s">
        <v>7</v>
      </c>
      <c r="B264" s="66" t="s">
        <v>10</v>
      </c>
      <c r="C264" s="66">
        <v>2019</v>
      </c>
      <c r="D264" s="66" t="s">
        <v>77</v>
      </c>
    </row>
    <row r="265" spans="1:4" x14ac:dyDescent="0.25">
      <c r="A265" s="65" t="s">
        <v>7</v>
      </c>
      <c r="B265" s="65" t="s">
        <v>173</v>
      </c>
      <c r="C265" s="65">
        <v>2019</v>
      </c>
      <c r="D265" s="65" t="s">
        <v>41</v>
      </c>
    </row>
    <row r="266" spans="1:4" x14ac:dyDescent="0.25">
      <c r="A266" s="66" t="s">
        <v>7</v>
      </c>
      <c r="B266" s="66" t="s">
        <v>97</v>
      </c>
      <c r="C266" s="66">
        <v>2018</v>
      </c>
      <c r="D266" s="66" t="s">
        <v>33</v>
      </c>
    </row>
    <row r="267" spans="1:4" x14ac:dyDescent="0.25">
      <c r="A267" s="65" t="s">
        <v>7</v>
      </c>
      <c r="B267" s="65" t="s">
        <v>140</v>
      </c>
      <c r="C267" s="65">
        <v>2017</v>
      </c>
      <c r="D267" s="65" t="s">
        <v>11</v>
      </c>
    </row>
    <row r="268" spans="1:4" x14ac:dyDescent="0.25">
      <c r="A268" s="66" t="s">
        <v>7</v>
      </c>
      <c r="B268" s="66" t="s">
        <v>10</v>
      </c>
      <c r="C268" s="66">
        <v>2019</v>
      </c>
      <c r="D268" s="66" t="s">
        <v>67</v>
      </c>
    </row>
    <row r="269" spans="1:4" x14ac:dyDescent="0.25">
      <c r="A269" s="65" t="s">
        <v>7</v>
      </c>
      <c r="B269" s="65" t="s">
        <v>10</v>
      </c>
      <c r="C269" s="65">
        <v>2019</v>
      </c>
      <c r="D269" s="65" t="s">
        <v>12</v>
      </c>
    </row>
    <row r="270" spans="1:4" x14ac:dyDescent="0.25">
      <c r="A270" s="66" t="s">
        <v>7</v>
      </c>
      <c r="B270" s="66" t="s">
        <v>140</v>
      </c>
      <c r="C270" s="66">
        <v>2020</v>
      </c>
      <c r="D270" s="66" t="s">
        <v>82</v>
      </c>
    </row>
    <row r="271" spans="1:4" x14ac:dyDescent="0.25">
      <c r="A271" s="65" t="s">
        <v>7</v>
      </c>
      <c r="B271" s="65" t="s">
        <v>10</v>
      </c>
      <c r="C271" s="65">
        <v>2020</v>
      </c>
      <c r="D271" s="65" t="s">
        <v>67</v>
      </c>
    </row>
    <row r="272" spans="1:4" x14ac:dyDescent="0.25">
      <c r="A272" s="66" t="s">
        <v>7</v>
      </c>
      <c r="B272" s="66" t="s">
        <v>10</v>
      </c>
      <c r="C272" s="66">
        <v>2020</v>
      </c>
      <c r="D272" s="66" t="s">
        <v>63</v>
      </c>
    </row>
    <row r="273" spans="1:4" x14ac:dyDescent="0.25">
      <c r="A273" s="65" t="s">
        <v>7</v>
      </c>
      <c r="B273" s="65" t="s">
        <v>10</v>
      </c>
      <c r="C273" s="65">
        <v>2020</v>
      </c>
      <c r="D273" s="65" t="s">
        <v>55</v>
      </c>
    </row>
    <row r="274" spans="1:4" x14ac:dyDescent="0.25">
      <c r="A274" s="66" t="s">
        <v>7</v>
      </c>
      <c r="B274" s="66" t="s">
        <v>62</v>
      </c>
      <c r="C274" s="66">
        <v>2017</v>
      </c>
      <c r="D274" s="66" t="s">
        <v>147</v>
      </c>
    </row>
    <row r="275" spans="1:4" x14ac:dyDescent="0.25">
      <c r="A275" s="65" t="s">
        <v>7</v>
      </c>
      <c r="B275" s="65" t="s">
        <v>10</v>
      </c>
      <c r="C275" s="65">
        <v>2017</v>
      </c>
      <c r="D275" s="65" t="s">
        <v>124</v>
      </c>
    </row>
    <row r="276" spans="1:4" x14ac:dyDescent="0.25">
      <c r="A276" s="66" t="s">
        <v>7</v>
      </c>
      <c r="B276" s="66" t="s">
        <v>10</v>
      </c>
      <c r="C276" s="66">
        <v>2018</v>
      </c>
      <c r="D276" s="66" t="s">
        <v>28</v>
      </c>
    </row>
    <row r="277" spans="1:4" x14ac:dyDescent="0.25">
      <c r="A277" s="65" t="s">
        <v>7</v>
      </c>
      <c r="B277" s="65" t="s">
        <v>10</v>
      </c>
      <c r="C277" s="65">
        <v>2020</v>
      </c>
      <c r="D277" s="65" t="s">
        <v>130</v>
      </c>
    </row>
    <row r="278" spans="1:4" x14ac:dyDescent="0.25">
      <c r="A278" s="66" t="s">
        <v>7</v>
      </c>
      <c r="B278" s="66" t="s">
        <v>10</v>
      </c>
      <c r="C278" s="66">
        <v>2017</v>
      </c>
      <c r="D278" s="66" t="s">
        <v>11</v>
      </c>
    </row>
    <row r="279" spans="1:4" x14ac:dyDescent="0.25">
      <c r="A279" s="65" t="s">
        <v>7</v>
      </c>
      <c r="B279" s="65" t="s">
        <v>10</v>
      </c>
      <c r="C279" s="65">
        <v>2017</v>
      </c>
      <c r="D279" s="65" t="s">
        <v>16</v>
      </c>
    </row>
    <row r="280" spans="1:4" x14ac:dyDescent="0.25">
      <c r="A280" s="66" t="s">
        <v>7</v>
      </c>
      <c r="B280" s="66" t="s">
        <v>97</v>
      </c>
      <c r="C280" s="66">
        <v>2017</v>
      </c>
      <c r="D280" s="66" t="s">
        <v>55</v>
      </c>
    </row>
    <row r="281" spans="1:4" x14ac:dyDescent="0.25">
      <c r="A281" s="65" t="s">
        <v>7</v>
      </c>
      <c r="B281" s="65" t="s">
        <v>62</v>
      </c>
      <c r="C281" s="65">
        <v>2020</v>
      </c>
      <c r="D281" s="65" t="s">
        <v>88</v>
      </c>
    </row>
    <row r="282" spans="1:4" x14ac:dyDescent="0.25">
      <c r="A282" s="66" t="s">
        <v>7</v>
      </c>
      <c r="B282" s="66" t="s">
        <v>220</v>
      </c>
      <c r="C282" s="66">
        <v>2020</v>
      </c>
      <c r="D282" s="66" t="s">
        <v>28</v>
      </c>
    </row>
    <row r="283" spans="1:4" x14ac:dyDescent="0.25">
      <c r="A283" s="65" t="s">
        <v>7</v>
      </c>
      <c r="B283" s="65" t="s">
        <v>10</v>
      </c>
      <c r="C283" s="65">
        <v>2020</v>
      </c>
      <c r="D283" s="65" t="s">
        <v>29</v>
      </c>
    </row>
    <row r="284" spans="1:4" x14ac:dyDescent="0.25">
      <c r="A284" s="66" t="s">
        <v>7</v>
      </c>
      <c r="B284" s="66" t="s">
        <v>10</v>
      </c>
      <c r="C284" s="66">
        <v>2020</v>
      </c>
      <c r="D284" s="66" t="s">
        <v>12</v>
      </c>
    </row>
    <row r="285" spans="1:4" x14ac:dyDescent="0.25">
      <c r="A285" s="65" t="s">
        <v>7</v>
      </c>
      <c r="B285" s="65" t="s">
        <v>10</v>
      </c>
      <c r="C285" s="65">
        <v>2017</v>
      </c>
      <c r="D285" s="65" t="s">
        <v>124</v>
      </c>
    </row>
    <row r="286" spans="1:4" x14ac:dyDescent="0.25">
      <c r="A286" s="66" t="s">
        <v>7</v>
      </c>
      <c r="B286" s="66" t="s">
        <v>10</v>
      </c>
      <c r="C286" s="66">
        <v>2019</v>
      </c>
      <c r="D286" s="66" t="s">
        <v>110</v>
      </c>
    </row>
    <row r="287" spans="1:4" x14ac:dyDescent="0.25">
      <c r="A287" s="65" t="s">
        <v>7</v>
      </c>
      <c r="B287" s="65" t="s">
        <v>10</v>
      </c>
      <c r="C287" s="65">
        <v>2017</v>
      </c>
      <c r="D287" s="65" t="s">
        <v>28</v>
      </c>
    </row>
    <row r="288" spans="1:4" x14ac:dyDescent="0.25">
      <c r="A288" s="66" t="s">
        <v>7</v>
      </c>
      <c r="B288" s="66" t="s">
        <v>10</v>
      </c>
      <c r="C288" s="66">
        <v>2020</v>
      </c>
      <c r="D288" s="66" t="s">
        <v>28</v>
      </c>
    </row>
    <row r="289" spans="1:4" x14ac:dyDescent="0.25">
      <c r="A289" s="65" t="s">
        <v>7</v>
      </c>
      <c r="B289" s="65" t="s">
        <v>10</v>
      </c>
      <c r="C289" s="65">
        <v>2020</v>
      </c>
      <c r="D289" s="65" t="s">
        <v>48</v>
      </c>
    </row>
    <row r="290" spans="1:4" x14ac:dyDescent="0.25">
      <c r="A290" s="66" t="s">
        <v>7</v>
      </c>
      <c r="B290" s="66" t="s">
        <v>173</v>
      </c>
      <c r="C290" s="66">
        <v>2020</v>
      </c>
      <c r="D290" s="66" t="s">
        <v>63</v>
      </c>
    </row>
    <row r="291" spans="1:4" x14ac:dyDescent="0.25">
      <c r="A291" s="65" t="s">
        <v>7</v>
      </c>
      <c r="B291" s="65" t="s">
        <v>10</v>
      </c>
      <c r="C291" s="65">
        <v>2019</v>
      </c>
      <c r="D291" s="65" t="s">
        <v>67</v>
      </c>
    </row>
    <row r="292" spans="1:4" x14ac:dyDescent="0.25">
      <c r="A292" s="66" t="s">
        <v>7</v>
      </c>
      <c r="B292" s="66" t="s">
        <v>173</v>
      </c>
      <c r="C292" s="66">
        <v>2018</v>
      </c>
      <c r="D292" s="66" t="s">
        <v>41</v>
      </c>
    </row>
    <row r="293" spans="1:4" x14ac:dyDescent="0.25">
      <c r="A293" s="65" t="s">
        <v>7</v>
      </c>
      <c r="B293" s="65" t="s">
        <v>10</v>
      </c>
      <c r="C293" s="65">
        <v>2017</v>
      </c>
      <c r="D293" s="65" t="s">
        <v>37</v>
      </c>
    </row>
    <row r="294" spans="1:4" x14ac:dyDescent="0.25">
      <c r="A294" s="66" t="s">
        <v>7</v>
      </c>
      <c r="B294" s="66" t="s">
        <v>62</v>
      </c>
      <c r="C294" s="66">
        <v>2018</v>
      </c>
      <c r="D294" s="66" t="s">
        <v>130</v>
      </c>
    </row>
    <row r="295" spans="1:4" x14ac:dyDescent="0.25">
      <c r="A295" s="65" t="s">
        <v>7</v>
      </c>
      <c r="B295" s="65" t="s">
        <v>10</v>
      </c>
      <c r="C295" s="65">
        <v>2019</v>
      </c>
      <c r="D295" s="65" t="s">
        <v>77</v>
      </c>
    </row>
    <row r="296" spans="1:4" x14ac:dyDescent="0.25">
      <c r="A296" s="66" t="s">
        <v>7</v>
      </c>
      <c r="B296" s="66" t="s">
        <v>10</v>
      </c>
      <c r="C296" s="66">
        <v>2020</v>
      </c>
      <c r="D296" s="66" t="s">
        <v>24</v>
      </c>
    </row>
    <row r="297" spans="1:4" x14ac:dyDescent="0.25">
      <c r="A297" s="65" t="s">
        <v>7</v>
      </c>
      <c r="B297" s="65" t="s">
        <v>10</v>
      </c>
      <c r="C297" s="65">
        <v>2020</v>
      </c>
      <c r="D297" s="65" t="s">
        <v>36</v>
      </c>
    </row>
    <row r="298" spans="1:4" x14ac:dyDescent="0.25">
      <c r="A298" s="66" t="s">
        <v>7</v>
      </c>
      <c r="B298" s="66" t="s">
        <v>10</v>
      </c>
      <c r="C298" s="66">
        <v>2020</v>
      </c>
      <c r="D298" s="66" t="s">
        <v>11</v>
      </c>
    </row>
    <row r="299" spans="1:4" x14ac:dyDescent="0.25">
      <c r="A299" s="65" t="s">
        <v>7</v>
      </c>
      <c r="B299" s="65" t="s">
        <v>173</v>
      </c>
      <c r="C299" s="65">
        <v>2019</v>
      </c>
      <c r="D299" s="65" t="s">
        <v>147</v>
      </c>
    </row>
    <row r="300" spans="1:4" x14ac:dyDescent="0.25">
      <c r="A300" s="66" t="s">
        <v>7</v>
      </c>
      <c r="B300" s="66" t="s">
        <v>10</v>
      </c>
      <c r="C300" s="66">
        <v>2020</v>
      </c>
      <c r="D300" s="66" t="s">
        <v>28</v>
      </c>
    </row>
    <row r="301" spans="1:4" x14ac:dyDescent="0.25">
      <c r="A301" s="65" t="s">
        <v>7</v>
      </c>
      <c r="B301" s="65" t="s">
        <v>62</v>
      </c>
      <c r="C301" s="65">
        <v>2019</v>
      </c>
      <c r="D301" s="65" t="s">
        <v>63</v>
      </c>
    </row>
    <row r="302" spans="1:4" x14ac:dyDescent="0.25">
      <c r="A302" s="66" t="s">
        <v>255</v>
      </c>
      <c r="B302" s="66" t="s">
        <v>256</v>
      </c>
      <c r="C302" s="66">
        <v>2020</v>
      </c>
      <c r="D302" s="66" t="s">
        <v>63</v>
      </c>
    </row>
    <row r="303" spans="1:4" x14ac:dyDescent="0.25">
      <c r="A303" s="65" t="s">
        <v>255</v>
      </c>
      <c r="B303" s="65" t="s">
        <v>261</v>
      </c>
      <c r="C303" s="65">
        <v>2017</v>
      </c>
      <c r="D303" s="65" t="s">
        <v>48</v>
      </c>
    </row>
    <row r="304" spans="1:4" x14ac:dyDescent="0.25">
      <c r="A304" s="66" t="s">
        <v>255</v>
      </c>
      <c r="B304" s="66" t="s">
        <v>266</v>
      </c>
      <c r="C304" s="66">
        <v>2018</v>
      </c>
      <c r="D304" s="66" t="s">
        <v>12</v>
      </c>
    </row>
    <row r="305" spans="1:4" x14ac:dyDescent="0.25">
      <c r="A305" s="65" t="s">
        <v>255</v>
      </c>
      <c r="B305" s="65" t="s">
        <v>266</v>
      </c>
      <c r="C305" s="65">
        <v>2019</v>
      </c>
      <c r="D305" s="65" t="s">
        <v>29</v>
      </c>
    </row>
    <row r="306" spans="1:4" x14ac:dyDescent="0.25">
      <c r="A306" s="66" t="s">
        <v>255</v>
      </c>
      <c r="B306" s="66" t="s">
        <v>275</v>
      </c>
      <c r="C306" s="66">
        <v>2017</v>
      </c>
      <c r="D306" s="66" t="s">
        <v>52</v>
      </c>
    </row>
    <row r="307" spans="1:4" x14ac:dyDescent="0.25">
      <c r="A307" s="65" t="s">
        <v>255</v>
      </c>
      <c r="B307" s="65" t="s">
        <v>256</v>
      </c>
      <c r="C307" s="65">
        <v>2018</v>
      </c>
      <c r="D307" s="65" t="s">
        <v>33</v>
      </c>
    </row>
    <row r="308" spans="1:4" x14ac:dyDescent="0.25">
      <c r="A308" s="66" t="s">
        <v>255</v>
      </c>
      <c r="B308" s="66" t="s">
        <v>284</v>
      </c>
      <c r="C308" s="66">
        <v>2018</v>
      </c>
      <c r="D308" s="66" t="s">
        <v>33</v>
      </c>
    </row>
    <row r="309" spans="1:4" x14ac:dyDescent="0.25">
      <c r="A309" s="65" t="s">
        <v>255</v>
      </c>
      <c r="B309" s="65" t="s">
        <v>275</v>
      </c>
      <c r="C309" s="65">
        <v>2020</v>
      </c>
      <c r="D309" s="65" t="s">
        <v>147</v>
      </c>
    </row>
    <row r="310" spans="1:4" x14ac:dyDescent="0.25">
      <c r="A310" s="66" t="s">
        <v>255</v>
      </c>
      <c r="B310" s="66" t="s">
        <v>266</v>
      </c>
      <c r="C310" s="66">
        <v>2017</v>
      </c>
      <c r="D310" s="66" t="s">
        <v>75</v>
      </c>
    </row>
    <row r="311" spans="1:4" x14ac:dyDescent="0.25">
      <c r="A311" s="65" t="s">
        <v>255</v>
      </c>
      <c r="B311" s="65" t="s">
        <v>256</v>
      </c>
      <c r="C311" s="65">
        <v>2019</v>
      </c>
      <c r="D311" s="65" t="s">
        <v>11</v>
      </c>
    </row>
    <row r="312" spans="1:4" x14ac:dyDescent="0.25">
      <c r="A312" s="66" t="s">
        <v>255</v>
      </c>
      <c r="B312" s="66" t="s">
        <v>256</v>
      </c>
      <c r="C312" s="66">
        <v>2020</v>
      </c>
      <c r="D312" s="66" t="s">
        <v>20</v>
      </c>
    </row>
    <row r="313" spans="1:4" x14ac:dyDescent="0.25">
      <c r="A313" s="65" t="s">
        <v>255</v>
      </c>
      <c r="B313" s="65" t="s">
        <v>275</v>
      </c>
      <c r="C313" s="65">
        <v>2019</v>
      </c>
      <c r="D313" s="65" t="s">
        <v>36</v>
      </c>
    </row>
    <row r="314" spans="1:4" x14ac:dyDescent="0.25">
      <c r="A314" s="66" t="s">
        <v>255</v>
      </c>
      <c r="B314" s="66" t="s">
        <v>256</v>
      </c>
      <c r="C314" s="66">
        <v>2020</v>
      </c>
      <c r="D314" s="66" t="s">
        <v>215</v>
      </c>
    </row>
    <row r="315" spans="1:4" x14ac:dyDescent="0.25">
      <c r="A315" s="65" t="s">
        <v>255</v>
      </c>
      <c r="B315" s="65" t="s">
        <v>275</v>
      </c>
      <c r="C315" s="65">
        <v>2020</v>
      </c>
      <c r="D315" s="65" t="s">
        <v>67</v>
      </c>
    </row>
    <row r="316" spans="1:4" x14ac:dyDescent="0.25">
      <c r="A316" s="66" t="s">
        <v>255</v>
      </c>
      <c r="B316" s="66" t="s">
        <v>275</v>
      </c>
      <c r="C316" s="66">
        <v>2017</v>
      </c>
      <c r="D316" s="66" t="s">
        <v>20</v>
      </c>
    </row>
    <row r="317" spans="1:4" x14ac:dyDescent="0.25">
      <c r="A317" s="65" t="s">
        <v>255</v>
      </c>
      <c r="B317" s="65" t="s">
        <v>319</v>
      </c>
      <c r="C317" s="65">
        <v>2019</v>
      </c>
      <c r="D317" s="65" t="s">
        <v>36</v>
      </c>
    </row>
    <row r="318" spans="1:4" x14ac:dyDescent="0.25">
      <c r="A318" s="66" t="s">
        <v>255</v>
      </c>
      <c r="B318" s="66" t="s">
        <v>256</v>
      </c>
      <c r="C318" s="66">
        <v>2018</v>
      </c>
      <c r="D318" s="66" t="s">
        <v>106</v>
      </c>
    </row>
    <row r="319" spans="1:4" x14ac:dyDescent="0.25">
      <c r="A319" s="65" t="s">
        <v>255</v>
      </c>
      <c r="B319" s="65" t="s">
        <v>327</v>
      </c>
      <c r="C319" s="65">
        <v>2017</v>
      </c>
      <c r="D319" s="65" t="s">
        <v>106</v>
      </c>
    </row>
    <row r="320" spans="1:4" x14ac:dyDescent="0.25">
      <c r="A320" s="66" t="s">
        <v>255</v>
      </c>
      <c r="B320" s="66" t="s">
        <v>275</v>
      </c>
      <c r="C320" s="66">
        <v>2020</v>
      </c>
      <c r="D320" s="66" t="s">
        <v>41</v>
      </c>
    </row>
    <row r="321" spans="1:4" x14ac:dyDescent="0.25">
      <c r="A321" s="65" t="s">
        <v>255</v>
      </c>
      <c r="B321" s="65" t="s">
        <v>256</v>
      </c>
      <c r="C321" s="65">
        <v>2019</v>
      </c>
      <c r="D321" s="65" t="s">
        <v>67</v>
      </c>
    </row>
    <row r="322" spans="1:4" x14ac:dyDescent="0.25">
      <c r="A322" s="66" t="s">
        <v>255</v>
      </c>
      <c r="B322" s="66" t="s">
        <v>256</v>
      </c>
      <c r="C322" s="66">
        <v>2017</v>
      </c>
      <c r="D322" s="66" t="s">
        <v>28</v>
      </c>
    </row>
    <row r="323" spans="1:4" x14ac:dyDescent="0.25">
      <c r="A323" s="65" t="s">
        <v>255</v>
      </c>
      <c r="B323" s="65" t="s">
        <v>344</v>
      </c>
      <c r="C323" s="65">
        <v>2017</v>
      </c>
      <c r="D323" s="65" t="s">
        <v>82</v>
      </c>
    </row>
    <row r="324" spans="1:4" x14ac:dyDescent="0.25">
      <c r="A324" s="66" t="s">
        <v>255</v>
      </c>
      <c r="B324" s="66" t="s">
        <v>256</v>
      </c>
      <c r="C324" s="66">
        <v>2018</v>
      </c>
      <c r="D324" s="66" t="s">
        <v>41</v>
      </c>
    </row>
    <row r="325" spans="1:4" x14ac:dyDescent="0.25">
      <c r="A325" s="65" t="s">
        <v>255</v>
      </c>
      <c r="B325" s="65" t="s">
        <v>319</v>
      </c>
      <c r="C325" s="65">
        <v>2020</v>
      </c>
      <c r="D325" s="65" t="s">
        <v>23</v>
      </c>
    </row>
    <row r="326" spans="1:4" x14ac:dyDescent="0.25">
      <c r="A326" s="66" t="s">
        <v>255</v>
      </c>
      <c r="B326" s="66" t="s">
        <v>275</v>
      </c>
      <c r="C326" s="66">
        <v>2018</v>
      </c>
      <c r="D326" s="66" t="s">
        <v>36</v>
      </c>
    </row>
    <row r="327" spans="1:4" x14ac:dyDescent="0.25">
      <c r="A327" s="65" t="s">
        <v>255</v>
      </c>
      <c r="B327" s="65" t="s">
        <v>327</v>
      </c>
      <c r="C327" s="65">
        <v>2018</v>
      </c>
      <c r="D327" s="65" t="s">
        <v>16</v>
      </c>
    </row>
    <row r="328" spans="1:4" x14ac:dyDescent="0.25">
      <c r="A328" s="66" t="s">
        <v>255</v>
      </c>
      <c r="B328" s="66" t="s">
        <v>275</v>
      </c>
      <c r="C328" s="66">
        <v>2018</v>
      </c>
      <c r="D328" s="66" t="s">
        <v>67</v>
      </c>
    </row>
    <row r="329" spans="1:4" x14ac:dyDescent="0.25">
      <c r="A329" s="65" t="s">
        <v>255</v>
      </c>
      <c r="B329" s="65" t="s">
        <v>266</v>
      </c>
      <c r="C329" s="65">
        <v>2019</v>
      </c>
      <c r="D329" s="65" t="s">
        <v>147</v>
      </c>
    </row>
    <row r="330" spans="1:4" x14ac:dyDescent="0.25">
      <c r="A330" s="66" t="s">
        <v>255</v>
      </c>
      <c r="B330" s="66" t="s">
        <v>275</v>
      </c>
      <c r="C330" s="66">
        <v>2018</v>
      </c>
      <c r="D330" s="66" t="s">
        <v>28</v>
      </c>
    </row>
    <row r="331" spans="1:4" x14ac:dyDescent="0.25">
      <c r="A331" s="65" t="s">
        <v>255</v>
      </c>
      <c r="B331" s="65" t="s">
        <v>275</v>
      </c>
      <c r="C331" s="65">
        <v>2020</v>
      </c>
      <c r="D331" s="65" t="s">
        <v>37</v>
      </c>
    </row>
    <row r="332" spans="1:4" x14ac:dyDescent="0.25">
      <c r="A332" s="66" t="s">
        <v>255</v>
      </c>
      <c r="B332" s="66" t="s">
        <v>275</v>
      </c>
      <c r="C332" s="66">
        <v>2020</v>
      </c>
      <c r="D332" s="66" t="s">
        <v>20</v>
      </c>
    </row>
    <row r="333" spans="1:4" x14ac:dyDescent="0.25">
      <c r="A333" s="65" t="s">
        <v>255</v>
      </c>
      <c r="B333" s="65" t="s">
        <v>256</v>
      </c>
      <c r="C333" s="65">
        <v>2018</v>
      </c>
      <c r="D333" s="65" t="s">
        <v>110</v>
      </c>
    </row>
    <row r="334" spans="1:4" x14ac:dyDescent="0.25">
      <c r="A334" s="66" t="s">
        <v>255</v>
      </c>
      <c r="B334" s="66" t="s">
        <v>256</v>
      </c>
      <c r="C334" s="66">
        <v>2018</v>
      </c>
      <c r="D334" s="66" t="s">
        <v>67</v>
      </c>
    </row>
    <row r="335" spans="1:4" x14ac:dyDescent="0.25">
      <c r="A335" s="65" t="s">
        <v>255</v>
      </c>
      <c r="B335" s="65" t="s">
        <v>256</v>
      </c>
      <c r="C335" s="65">
        <v>2019</v>
      </c>
      <c r="D335" s="65" t="s">
        <v>28</v>
      </c>
    </row>
    <row r="336" spans="1:4" x14ac:dyDescent="0.25">
      <c r="A336" s="66" t="s">
        <v>255</v>
      </c>
      <c r="B336" s="66" t="s">
        <v>327</v>
      </c>
      <c r="C336" s="66">
        <v>2018</v>
      </c>
      <c r="D336" s="66" t="s">
        <v>215</v>
      </c>
    </row>
    <row r="337" spans="1:4" x14ac:dyDescent="0.25">
      <c r="A337" s="65" t="s">
        <v>255</v>
      </c>
      <c r="B337" s="65" t="s">
        <v>256</v>
      </c>
      <c r="C337" s="65">
        <v>2019</v>
      </c>
      <c r="D337" s="65" t="s">
        <v>36</v>
      </c>
    </row>
    <row r="338" spans="1:4" x14ac:dyDescent="0.25">
      <c r="A338" s="66" t="s">
        <v>255</v>
      </c>
      <c r="B338" s="66" t="s">
        <v>344</v>
      </c>
      <c r="C338" s="66">
        <v>2019</v>
      </c>
      <c r="D338" s="66" t="s">
        <v>110</v>
      </c>
    </row>
    <row r="339" spans="1:4" x14ac:dyDescent="0.25">
      <c r="A339" s="65" t="s">
        <v>255</v>
      </c>
      <c r="B339" s="65" t="s">
        <v>256</v>
      </c>
      <c r="C339" s="65">
        <v>2018</v>
      </c>
      <c r="D339" s="65" t="s">
        <v>63</v>
      </c>
    </row>
    <row r="340" spans="1:4" x14ac:dyDescent="0.25">
      <c r="A340" s="66" t="s">
        <v>255</v>
      </c>
      <c r="B340" s="66" t="s">
        <v>266</v>
      </c>
      <c r="C340" s="66">
        <v>2017</v>
      </c>
      <c r="D340" s="66" t="s">
        <v>11</v>
      </c>
    </row>
    <row r="341" spans="1:4" x14ac:dyDescent="0.25">
      <c r="A341" s="65" t="s">
        <v>255</v>
      </c>
      <c r="B341" s="65" t="s">
        <v>275</v>
      </c>
      <c r="C341" s="65">
        <v>2018</v>
      </c>
      <c r="D341" s="65" t="s">
        <v>36</v>
      </c>
    </row>
    <row r="342" spans="1:4" x14ac:dyDescent="0.25">
      <c r="A342" s="66" t="s">
        <v>255</v>
      </c>
      <c r="B342" s="66" t="s">
        <v>256</v>
      </c>
      <c r="C342" s="66">
        <v>2020</v>
      </c>
      <c r="D342" s="66" t="s">
        <v>41</v>
      </c>
    </row>
    <row r="343" spans="1:4" x14ac:dyDescent="0.25">
      <c r="A343" s="65" t="s">
        <v>255</v>
      </c>
      <c r="B343" s="65" t="s">
        <v>319</v>
      </c>
      <c r="C343" s="65">
        <v>2018</v>
      </c>
      <c r="D343" s="65" t="s">
        <v>52</v>
      </c>
    </row>
    <row r="344" spans="1:4" x14ac:dyDescent="0.25">
      <c r="A344" s="66" t="s">
        <v>255</v>
      </c>
      <c r="B344" s="66" t="s">
        <v>256</v>
      </c>
      <c r="C344" s="66">
        <v>2018</v>
      </c>
      <c r="D344" s="66" t="s">
        <v>41</v>
      </c>
    </row>
    <row r="345" spans="1:4" x14ac:dyDescent="0.25">
      <c r="A345" s="65" t="s">
        <v>255</v>
      </c>
      <c r="B345" s="65" t="s">
        <v>256</v>
      </c>
      <c r="C345" s="65">
        <v>2020</v>
      </c>
      <c r="D345" s="65" t="s">
        <v>124</v>
      </c>
    </row>
    <row r="346" spans="1:4" x14ac:dyDescent="0.25">
      <c r="A346" s="66" t="s">
        <v>255</v>
      </c>
      <c r="B346" s="66" t="s">
        <v>256</v>
      </c>
      <c r="C346" s="66">
        <v>2020</v>
      </c>
      <c r="D346" s="66" t="s">
        <v>124</v>
      </c>
    </row>
    <row r="347" spans="1:4" x14ac:dyDescent="0.25">
      <c r="A347" s="65" t="s">
        <v>255</v>
      </c>
      <c r="B347" s="65" t="s">
        <v>275</v>
      </c>
      <c r="C347" s="65">
        <v>2019</v>
      </c>
      <c r="D347" s="65" t="s">
        <v>52</v>
      </c>
    </row>
    <row r="348" spans="1:4" x14ac:dyDescent="0.25">
      <c r="A348" s="66" t="s">
        <v>255</v>
      </c>
      <c r="B348" s="66" t="s">
        <v>256</v>
      </c>
      <c r="C348" s="66">
        <v>2019</v>
      </c>
      <c r="D348" s="66" t="s">
        <v>215</v>
      </c>
    </row>
    <row r="349" spans="1:4" x14ac:dyDescent="0.25">
      <c r="A349" s="65" t="s">
        <v>255</v>
      </c>
      <c r="B349" s="65" t="s">
        <v>256</v>
      </c>
      <c r="C349" s="65">
        <v>2018</v>
      </c>
      <c r="D349" s="65" t="s">
        <v>88</v>
      </c>
    </row>
    <row r="350" spans="1:4" x14ac:dyDescent="0.25">
      <c r="A350" s="66" t="s">
        <v>255</v>
      </c>
      <c r="B350" s="66" t="s">
        <v>319</v>
      </c>
      <c r="C350" s="66">
        <v>2020</v>
      </c>
      <c r="D350" s="66" t="s">
        <v>29</v>
      </c>
    </row>
    <row r="351" spans="1:4" x14ac:dyDescent="0.25">
      <c r="A351" s="65" t="s">
        <v>255</v>
      </c>
      <c r="B351" s="65" t="s">
        <v>256</v>
      </c>
      <c r="C351" s="65">
        <v>2017</v>
      </c>
      <c r="D351" s="65" t="s">
        <v>29</v>
      </c>
    </row>
    <row r="352" spans="1:4" x14ac:dyDescent="0.25">
      <c r="A352" s="66" t="s">
        <v>255</v>
      </c>
      <c r="B352" s="66" t="s">
        <v>256</v>
      </c>
      <c r="C352" s="66">
        <v>2018</v>
      </c>
      <c r="D352" s="66" t="s">
        <v>110</v>
      </c>
    </row>
    <row r="353" spans="1:4" x14ac:dyDescent="0.25">
      <c r="A353" s="65" t="s">
        <v>255</v>
      </c>
      <c r="B353" s="65" t="s">
        <v>284</v>
      </c>
      <c r="C353" s="65">
        <v>2017</v>
      </c>
      <c r="D353" s="65" t="s">
        <v>48</v>
      </c>
    </row>
    <row r="354" spans="1:4" x14ac:dyDescent="0.25">
      <c r="A354" s="66" t="s">
        <v>255</v>
      </c>
      <c r="B354" s="66" t="s">
        <v>275</v>
      </c>
      <c r="C354" s="66">
        <v>2020</v>
      </c>
      <c r="D354" s="66" t="s">
        <v>48</v>
      </c>
    </row>
    <row r="355" spans="1:4" x14ac:dyDescent="0.25">
      <c r="A355" s="65" t="s">
        <v>255</v>
      </c>
      <c r="B355" s="65" t="s">
        <v>275</v>
      </c>
      <c r="C355" s="65">
        <v>2020</v>
      </c>
      <c r="D355" s="65" t="s">
        <v>77</v>
      </c>
    </row>
    <row r="356" spans="1:4" x14ac:dyDescent="0.25">
      <c r="A356" s="66" t="s">
        <v>255</v>
      </c>
      <c r="B356" s="66" t="s">
        <v>256</v>
      </c>
      <c r="C356" s="66">
        <v>2019</v>
      </c>
      <c r="D356" s="66" t="s">
        <v>16</v>
      </c>
    </row>
    <row r="357" spans="1:4" x14ac:dyDescent="0.25">
      <c r="A357" s="65" t="s">
        <v>255</v>
      </c>
      <c r="B357" s="65" t="s">
        <v>256</v>
      </c>
      <c r="C357" s="65">
        <v>2020</v>
      </c>
      <c r="D357" s="65" t="s">
        <v>28</v>
      </c>
    </row>
    <row r="358" spans="1:4" x14ac:dyDescent="0.25">
      <c r="A358" s="66" t="s">
        <v>255</v>
      </c>
      <c r="B358" s="66" t="s">
        <v>275</v>
      </c>
      <c r="C358" s="66">
        <v>2017</v>
      </c>
      <c r="D358" s="66" t="s">
        <v>12</v>
      </c>
    </row>
    <row r="359" spans="1:4" x14ac:dyDescent="0.25">
      <c r="A359" s="65" t="s">
        <v>255</v>
      </c>
      <c r="B359" s="65" t="s">
        <v>256</v>
      </c>
      <c r="C359" s="65">
        <v>2018</v>
      </c>
      <c r="D359" s="65" t="s">
        <v>88</v>
      </c>
    </row>
    <row r="360" spans="1:4" x14ac:dyDescent="0.25">
      <c r="A360" s="66" t="s">
        <v>255</v>
      </c>
      <c r="B360" s="66" t="s">
        <v>275</v>
      </c>
      <c r="C360" s="66">
        <v>2018</v>
      </c>
      <c r="D360" s="66" t="s">
        <v>48</v>
      </c>
    </row>
    <row r="361" spans="1:4" x14ac:dyDescent="0.25">
      <c r="A361" s="65" t="s">
        <v>255</v>
      </c>
      <c r="B361" s="65" t="s">
        <v>256</v>
      </c>
      <c r="C361" s="65">
        <v>2020</v>
      </c>
      <c r="D361" s="65" t="s">
        <v>82</v>
      </c>
    </row>
    <row r="362" spans="1:4" x14ac:dyDescent="0.25">
      <c r="A362" s="66" t="s">
        <v>255</v>
      </c>
      <c r="B362" s="66" t="s">
        <v>266</v>
      </c>
      <c r="C362" s="66">
        <v>2019</v>
      </c>
      <c r="D362" s="66" t="s">
        <v>12</v>
      </c>
    </row>
    <row r="363" spans="1:4" x14ac:dyDescent="0.25">
      <c r="A363" s="65" t="s">
        <v>255</v>
      </c>
      <c r="B363" s="65" t="s">
        <v>256</v>
      </c>
      <c r="C363" s="65">
        <v>2020</v>
      </c>
      <c r="D363" s="65" t="s">
        <v>147</v>
      </c>
    </row>
    <row r="364" spans="1:4" x14ac:dyDescent="0.25">
      <c r="A364" s="66" t="s">
        <v>255</v>
      </c>
      <c r="B364" s="66" t="s">
        <v>275</v>
      </c>
      <c r="C364" s="66">
        <v>2017</v>
      </c>
      <c r="D364" s="66" t="s">
        <v>23</v>
      </c>
    </row>
    <row r="365" spans="1:4" x14ac:dyDescent="0.25">
      <c r="A365" s="65" t="s">
        <v>255</v>
      </c>
      <c r="B365" s="65" t="s">
        <v>284</v>
      </c>
      <c r="C365" s="65">
        <v>2020</v>
      </c>
      <c r="D365" s="65" t="s">
        <v>215</v>
      </c>
    </row>
    <row r="366" spans="1:4" x14ac:dyDescent="0.25">
      <c r="A366" s="66" t="s">
        <v>255</v>
      </c>
      <c r="B366" s="66" t="s">
        <v>256</v>
      </c>
      <c r="C366" s="66">
        <v>2017</v>
      </c>
      <c r="D366" s="66" t="s">
        <v>147</v>
      </c>
    </row>
    <row r="367" spans="1:4" x14ac:dyDescent="0.25">
      <c r="A367" s="65" t="s">
        <v>255</v>
      </c>
      <c r="B367" s="65" t="s">
        <v>256</v>
      </c>
      <c r="C367" s="65">
        <v>2017</v>
      </c>
      <c r="D367" s="65" t="s">
        <v>55</v>
      </c>
    </row>
    <row r="368" spans="1:4" x14ac:dyDescent="0.25">
      <c r="A368" s="66" t="s">
        <v>255</v>
      </c>
      <c r="B368" s="66" t="s">
        <v>275</v>
      </c>
      <c r="C368" s="66">
        <v>2020</v>
      </c>
      <c r="D368" s="66" t="s">
        <v>63</v>
      </c>
    </row>
    <row r="369" spans="1:4" x14ac:dyDescent="0.25">
      <c r="A369" s="65" t="s">
        <v>255</v>
      </c>
      <c r="B369" s="65" t="s">
        <v>256</v>
      </c>
      <c r="C369" s="65">
        <v>2020</v>
      </c>
      <c r="D369" s="65" t="s">
        <v>11</v>
      </c>
    </row>
    <row r="370" spans="1:4" x14ac:dyDescent="0.25">
      <c r="A370" s="66" t="s">
        <v>255</v>
      </c>
      <c r="B370" s="66" t="s">
        <v>256</v>
      </c>
      <c r="C370" s="66">
        <v>2018</v>
      </c>
      <c r="D370" s="66" t="s">
        <v>11</v>
      </c>
    </row>
    <row r="371" spans="1:4" x14ac:dyDescent="0.25">
      <c r="A371" s="65" t="s">
        <v>255</v>
      </c>
      <c r="B371" s="65" t="s">
        <v>256</v>
      </c>
      <c r="C371" s="65">
        <v>2019</v>
      </c>
      <c r="D371" s="65" t="s">
        <v>16</v>
      </c>
    </row>
    <row r="372" spans="1:4" x14ac:dyDescent="0.25">
      <c r="A372" s="66" t="s">
        <v>255</v>
      </c>
      <c r="B372" s="66" t="s">
        <v>531</v>
      </c>
      <c r="C372" s="66">
        <v>2017</v>
      </c>
      <c r="D372" s="66" t="s">
        <v>215</v>
      </c>
    </row>
    <row r="373" spans="1:4" x14ac:dyDescent="0.25">
      <c r="A373" s="65" t="s">
        <v>255</v>
      </c>
      <c r="B373" s="65" t="s">
        <v>256</v>
      </c>
      <c r="C373" s="65">
        <v>2019</v>
      </c>
      <c r="D373" s="65" t="s">
        <v>147</v>
      </c>
    </row>
    <row r="374" spans="1:4" x14ac:dyDescent="0.25">
      <c r="A374" s="66" t="s">
        <v>255</v>
      </c>
      <c r="B374" s="66" t="s">
        <v>256</v>
      </c>
      <c r="C374" s="66">
        <v>2018</v>
      </c>
      <c r="D374" s="66" t="s">
        <v>41</v>
      </c>
    </row>
    <row r="375" spans="1:4" x14ac:dyDescent="0.25">
      <c r="A375" s="65" t="s">
        <v>255</v>
      </c>
      <c r="B375" s="65" t="s">
        <v>261</v>
      </c>
      <c r="C375" s="65">
        <v>2018</v>
      </c>
      <c r="D375" s="65" t="s">
        <v>36</v>
      </c>
    </row>
    <row r="376" spans="1:4" x14ac:dyDescent="0.25">
      <c r="A376" s="66" t="s">
        <v>255</v>
      </c>
      <c r="B376" s="66" t="s">
        <v>319</v>
      </c>
      <c r="C376" s="66">
        <v>2019</v>
      </c>
      <c r="D376" s="66" t="s">
        <v>63</v>
      </c>
    </row>
    <row r="377" spans="1:4" x14ac:dyDescent="0.25">
      <c r="A377" s="65" t="s">
        <v>255</v>
      </c>
      <c r="B377" s="65" t="s">
        <v>266</v>
      </c>
      <c r="C377" s="65">
        <v>2020</v>
      </c>
      <c r="D377" s="65" t="s">
        <v>75</v>
      </c>
    </row>
    <row r="378" spans="1:4" x14ac:dyDescent="0.25">
      <c r="A378" s="66" t="s">
        <v>255</v>
      </c>
      <c r="B378" s="66" t="s">
        <v>256</v>
      </c>
      <c r="C378" s="66">
        <v>2018</v>
      </c>
      <c r="D378" s="66" t="s">
        <v>12</v>
      </c>
    </row>
    <row r="379" spans="1:4" x14ac:dyDescent="0.25">
      <c r="A379" s="65" t="s">
        <v>255</v>
      </c>
      <c r="B379" s="65" t="s">
        <v>256</v>
      </c>
      <c r="C379" s="65">
        <v>2018</v>
      </c>
      <c r="D379" s="65" t="s">
        <v>130</v>
      </c>
    </row>
    <row r="380" spans="1:4" x14ac:dyDescent="0.25">
      <c r="A380" s="66" t="s">
        <v>255</v>
      </c>
      <c r="B380" s="66" t="s">
        <v>256</v>
      </c>
      <c r="C380" s="66">
        <v>2017</v>
      </c>
      <c r="D380" s="66" t="s">
        <v>52</v>
      </c>
    </row>
    <row r="381" spans="1:4" x14ac:dyDescent="0.25">
      <c r="A381" s="65" t="s">
        <v>255</v>
      </c>
      <c r="B381" s="65" t="s">
        <v>275</v>
      </c>
      <c r="C381" s="65">
        <v>2020</v>
      </c>
      <c r="D381" s="65" t="s">
        <v>23</v>
      </c>
    </row>
    <row r="382" spans="1:4" x14ac:dyDescent="0.25">
      <c r="A382" s="66" t="s">
        <v>255</v>
      </c>
      <c r="B382" s="66" t="s">
        <v>256</v>
      </c>
      <c r="C382" s="66">
        <v>2019</v>
      </c>
      <c r="D382" s="66" t="s">
        <v>23</v>
      </c>
    </row>
    <row r="383" spans="1:4" x14ac:dyDescent="0.25">
      <c r="A383" s="65" t="s">
        <v>255</v>
      </c>
      <c r="B383" s="65" t="s">
        <v>319</v>
      </c>
      <c r="C383" s="65">
        <v>2020</v>
      </c>
      <c r="D383" s="65" t="s">
        <v>23</v>
      </c>
    </row>
    <row r="384" spans="1:4" x14ac:dyDescent="0.25">
      <c r="A384" s="66" t="s">
        <v>255</v>
      </c>
      <c r="B384" s="66" t="s">
        <v>256</v>
      </c>
      <c r="C384" s="66">
        <v>2018</v>
      </c>
      <c r="D384" s="66" t="s">
        <v>24</v>
      </c>
    </row>
    <row r="385" spans="1:4" x14ac:dyDescent="0.25">
      <c r="A385" s="65" t="s">
        <v>255</v>
      </c>
      <c r="B385" s="65" t="s">
        <v>261</v>
      </c>
      <c r="C385" s="65">
        <v>2018</v>
      </c>
      <c r="D385" s="65" t="s">
        <v>23</v>
      </c>
    </row>
    <row r="386" spans="1:4" x14ac:dyDescent="0.25">
      <c r="A386" s="66" t="s">
        <v>255</v>
      </c>
      <c r="B386" s="66" t="s">
        <v>256</v>
      </c>
      <c r="C386" s="66">
        <v>2019</v>
      </c>
      <c r="D386" s="66" t="s">
        <v>88</v>
      </c>
    </row>
    <row r="387" spans="1:4" x14ac:dyDescent="0.25">
      <c r="A387" s="65" t="s">
        <v>255</v>
      </c>
      <c r="B387" s="65" t="s">
        <v>256</v>
      </c>
      <c r="C387" s="65">
        <v>2019</v>
      </c>
      <c r="D387" s="65" t="s">
        <v>75</v>
      </c>
    </row>
    <row r="388" spans="1:4" x14ac:dyDescent="0.25">
      <c r="A388" s="66" t="s">
        <v>255</v>
      </c>
      <c r="B388" s="66" t="s">
        <v>344</v>
      </c>
      <c r="C388" s="66">
        <v>2020</v>
      </c>
      <c r="D388" s="66" t="s">
        <v>33</v>
      </c>
    </row>
    <row r="389" spans="1:4" x14ac:dyDescent="0.25">
      <c r="A389" s="65" t="s">
        <v>255</v>
      </c>
      <c r="B389" s="65" t="s">
        <v>256</v>
      </c>
      <c r="C389" s="65">
        <v>2017</v>
      </c>
      <c r="D389" s="65" t="s">
        <v>82</v>
      </c>
    </row>
    <row r="390" spans="1:4" x14ac:dyDescent="0.25">
      <c r="A390" s="66" t="s">
        <v>255</v>
      </c>
      <c r="B390" s="66" t="s">
        <v>256</v>
      </c>
      <c r="C390" s="66">
        <v>2018</v>
      </c>
      <c r="D390" s="66" t="s">
        <v>33</v>
      </c>
    </row>
    <row r="391" spans="1:4" x14ac:dyDescent="0.25">
      <c r="A391" s="65" t="s">
        <v>255</v>
      </c>
      <c r="B391" s="65" t="s">
        <v>275</v>
      </c>
      <c r="C391" s="65">
        <v>2020</v>
      </c>
      <c r="D391" s="65" t="s">
        <v>82</v>
      </c>
    </row>
    <row r="392" spans="1:4" x14ac:dyDescent="0.25">
      <c r="A392" s="66" t="s">
        <v>255</v>
      </c>
      <c r="B392" s="66" t="s">
        <v>319</v>
      </c>
      <c r="C392" s="66">
        <v>2018</v>
      </c>
      <c r="D392" s="66" t="s">
        <v>55</v>
      </c>
    </row>
    <row r="393" spans="1:4" x14ac:dyDescent="0.25">
      <c r="A393" s="65" t="s">
        <v>255</v>
      </c>
      <c r="B393" s="65" t="s">
        <v>256</v>
      </c>
      <c r="C393" s="65">
        <v>2019</v>
      </c>
      <c r="D393" s="65" t="s">
        <v>75</v>
      </c>
    </row>
    <row r="394" spans="1:4" x14ac:dyDescent="0.25">
      <c r="A394" s="66" t="s">
        <v>255</v>
      </c>
      <c r="B394" s="66" t="s">
        <v>261</v>
      </c>
      <c r="C394" s="66">
        <v>2017</v>
      </c>
      <c r="D394" s="66" t="s">
        <v>124</v>
      </c>
    </row>
    <row r="395" spans="1:4" x14ac:dyDescent="0.25">
      <c r="A395" s="65" t="s">
        <v>255</v>
      </c>
      <c r="B395" s="65" t="s">
        <v>261</v>
      </c>
      <c r="C395" s="65">
        <v>2017</v>
      </c>
      <c r="D395" s="65" t="s">
        <v>52</v>
      </c>
    </row>
    <row r="396" spans="1:4" x14ac:dyDescent="0.25">
      <c r="A396" s="66" t="s">
        <v>255</v>
      </c>
      <c r="B396" s="66" t="s">
        <v>256</v>
      </c>
      <c r="C396" s="66">
        <v>2018</v>
      </c>
      <c r="D396" s="66" t="s">
        <v>11</v>
      </c>
    </row>
    <row r="397" spans="1:4" x14ac:dyDescent="0.25">
      <c r="A397" s="65" t="s">
        <v>255</v>
      </c>
      <c r="B397" s="65" t="s">
        <v>275</v>
      </c>
      <c r="C397" s="65">
        <v>2019</v>
      </c>
      <c r="D397" s="65" t="s">
        <v>124</v>
      </c>
    </row>
    <row r="398" spans="1:4" x14ac:dyDescent="0.25">
      <c r="A398" s="66" t="s">
        <v>255</v>
      </c>
      <c r="B398" s="66" t="s">
        <v>266</v>
      </c>
      <c r="C398" s="66">
        <v>2020</v>
      </c>
      <c r="D398" s="66" t="s">
        <v>130</v>
      </c>
    </row>
    <row r="399" spans="1:4" x14ac:dyDescent="0.25">
      <c r="A399" s="65" t="s">
        <v>255</v>
      </c>
      <c r="B399" s="65" t="s">
        <v>256</v>
      </c>
      <c r="C399" s="65">
        <v>2019</v>
      </c>
      <c r="D399" s="65" t="s">
        <v>106</v>
      </c>
    </row>
    <row r="400" spans="1:4" x14ac:dyDescent="0.25">
      <c r="A400" s="66" t="s">
        <v>255</v>
      </c>
      <c r="B400" s="66" t="s">
        <v>256</v>
      </c>
      <c r="C400" s="66">
        <v>2018</v>
      </c>
      <c r="D400" s="66" t="s">
        <v>82</v>
      </c>
    </row>
    <row r="401" spans="1:4" ht="15.75" thickBot="1" x14ac:dyDescent="0.3">
      <c r="A401" s="67" t="s">
        <v>255</v>
      </c>
      <c r="B401" s="67" t="s">
        <v>266</v>
      </c>
      <c r="C401" s="67">
        <v>2019</v>
      </c>
      <c r="D401" s="67" t="s">
        <v>33</v>
      </c>
    </row>
    <row r="402" spans="1:4" x14ac:dyDescent="0.25">
      <c r="A402" s="64" t="s">
        <v>7</v>
      </c>
      <c r="B402" s="64" t="s">
        <v>10</v>
      </c>
      <c r="C402" s="64">
        <v>2017</v>
      </c>
      <c r="D402" s="64" t="s">
        <v>12</v>
      </c>
    </row>
    <row r="403" spans="1:4" x14ac:dyDescent="0.25">
      <c r="A403" s="65" t="s">
        <v>7</v>
      </c>
      <c r="B403" s="65" t="s">
        <v>10</v>
      </c>
      <c r="C403" s="65">
        <v>2018</v>
      </c>
      <c r="D403" s="65" t="s">
        <v>16</v>
      </c>
    </row>
    <row r="404" spans="1:4" x14ac:dyDescent="0.25">
      <c r="A404" s="66" t="s">
        <v>7</v>
      </c>
      <c r="B404" s="66" t="s">
        <v>10</v>
      </c>
      <c r="C404" s="66">
        <v>2019</v>
      </c>
      <c r="D404" s="66" t="s">
        <v>20</v>
      </c>
    </row>
    <row r="405" spans="1:4" x14ac:dyDescent="0.25">
      <c r="A405" s="65" t="s">
        <v>7</v>
      </c>
      <c r="B405" s="65" t="s">
        <v>10</v>
      </c>
      <c r="C405" s="65">
        <v>2017</v>
      </c>
      <c r="D405" s="65" t="s">
        <v>24</v>
      </c>
    </row>
    <row r="406" spans="1:4" x14ac:dyDescent="0.25">
      <c r="A406" s="66" t="s">
        <v>7</v>
      </c>
      <c r="B406" s="66" t="s">
        <v>27</v>
      </c>
      <c r="C406" s="66">
        <v>2017</v>
      </c>
      <c r="D406" s="66" t="s">
        <v>29</v>
      </c>
    </row>
    <row r="407" spans="1:4" x14ac:dyDescent="0.25">
      <c r="A407" s="65" t="s">
        <v>7</v>
      </c>
      <c r="B407" s="65" t="s">
        <v>10</v>
      </c>
      <c r="C407" s="65">
        <v>2017</v>
      </c>
      <c r="D407" s="65" t="s">
        <v>33</v>
      </c>
    </row>
    <row r="408" spans="1:4" x14ac:dyDescent="0.25">
      <c r="A408" s="66" t="s">
        <v>7</v>
      </c>
      <c r="B408" s="66" t="s">
        <v>10</v>
      </c>
      <c r="C408" s="66">
        <v>2018</v>
      </c>
      <c r="D408" s="66" t="s">
        <v>37</v>
      </c>
    </row>
    <row r="409" spans="1:4" x14ac:dyDescent="0.25">
      <c r="A409" s="65" t="s">
        <v>7</v>
      </c>
      <c r="B409" s="65" t="s">
        <v>10</v>
      </c>
      <c r="C409" s="65">
        <v>2018</v>
      </c>
      <c r="D409" s="65" t="s">
        <v>41</v>
      </c>
    </row>
    <row r="410" spans="1:4" x14ac:dyDescent="0.25">
      <c r="A410" s="66" t="s">
        <v>7</v>
      </c>
      <c r="B410" s="66" t="s">
        <v>10</v>
      </c>
      <c r="C410" s="66">
        <v>2018</v>
      </c>
      <c r="D410" s="66" t="s">
        <v>23</v>
      </c>
    </row>
    <row r="411" spans="1:4" x14ac:dyDescent="0.25">
      <c r="A411" s="65" t="s">
        <v>7</v>
      </c>
      <c r="B411" s="65" t="s">
        <v>10</v>
      </c>
      <c r="C411" s="65">
        <v>2019</v>
      </c>
      <c r="D411" s="65" t="s">
        <v>36</v>
      </c>
    </row>
    <row r="412" spans="1:4" x14ac:dyDescent="0.25">
      <c r="A412" s="66" t="s">
        <v>7</v>
      </c>
      <c r="B412" s="66" t="s">
        <v>10</v>
      </c>
      <c r="C412" s="66">
        <v>2017</v>
      </c>
      <c r="D412" s="66" t="s">
        <v>36</v>
      </c>
    </row>
    <row r="413" spans="1:4" x14ac:dyDescent="0.25">
      <c r="A413" s="65" t="s">
        <v>7</v>
      </c>
      <c r="B413" s="65" t="s">
        <v>10</v>
      </c>
      <c r="C413" s="65">
        <v>2017</v>
      </c>
      <c r="D413" s="65" t="s">
        <v>55</v>
      </c>
    </row>
    <row r="414" spans="1:4" x14ac:dyDescent="0.25">
      <c r="A414" s="66" t="s">
        <v>7</v>
      </c>
      <c r="B414" s="66" t="s">
        <v>10</v>
      </c>
      <c r="C414" s="66">
        <v>2018</v>
      </c>
      <c r="D414" s="66" t="s">
        <v>52</v>
      </c>
    </row>
    <row r="415" spans="1:4" x14ac:dyDescent="0.25">
      <c r="A415" s="65" t="s">
        <v>7</v>
      </c>
      <c r="B415" s="65" t="s">
        <v>62</v>
      </c>
      <c r="C415" s="65">
        <v>2019</v>
      </c>
      <c r="D415" s="65" t="s">
        <v>63</v>
      </c>
    </row>
    <row r="416" spans="1:4" x14ac:dyDescent="0.25">
      <c r="A416" s="66" t="s">
        <v>7</v>
      </c>
      <c r="B416" s="66" t="s">
        <v>10</v>
      </c>
      <c r="C416" s="66">
        <v>2020</v>
      </c>
      <c r="D416" s="66" t="s">
        <v>67</v>
      </c>
    </row>
    <row r="417" spans="1:4" x14ac:dyDescent="0.25">
      <c r="A417" s="65" t="s">
        <v>7</v>
      </c>
      <c r="B417" s="65" t="s">
        <v>62</v>
      </c>
      <c r="C417" s="65">
        <v>2018</v>
      </c>
      <c r="D417" s="65" t="s">
        <v>12</v>
      </c>
    </row>
    <row r="418" spans="1:4" x14ac:dyDescent="0.25">
      <c r="A418" s="66" t="s">
        <v>7</v>
      </c>
      <c r="B418" s="66" t="s">
        <v>10</v>
      </c>
      <c r="C418" s="66">
        <v>2020</v>
      </c>
      <c r="D418" s="66" t="s">
        <v>48</v>
      </c>
    </row>
    <row r="419" spans="1:4" x14ac:dyDescent="0.25">
      <c r="A419" s="65" t="s">
        <v>7</v>
      </c>
      <c r="B419" s="65" t="s">
        <v>10</v>
      </c>
      <c r="C419" s="65">
        <v>2019</v>
      </c>
      <c r="D419" s="65" t="s">
        <v>33</v>
      </c>
    </row>
    <row r="420" spans="1:4" x14ac:dyDescent="0.25">
      <c r="A420" s="66" t="s">
        <v>7</v>
      </c>
      <c r="B420" s="66" t="s">
        <v>10</v>
      </c>
      <c r="C420" s="66">
        <v>2020</v>
      </c>
      <c r="D420" s="66" t="s">
        <v>23</v>
      </c>
    </row>
    <row r="421" spans="1:4" x14ac:dyDescent="0.25">
      <c r="A421" s="65" t="s">
        <v>7</v>
      </c>
      <c r="B421" s="65" t="s">
        <v>10</v>
      </c>
      <c r="C421" s="65">
        <v>2019</v>
      </c>
      <c r="D421" s="65" t="s">
        <v>12</v>
      </c>
    </row>
    <row r="422" spans="1:4" x14ac:dyDescent="0.25">
      <c r="A422" s="66" t="s">
        <v>7</v>
      </c>
      <c r="B422" s="66" t="s">
        <v>10</v>
      </c>
      <c r="C422" s="66">
        <v>2020</v>
      </c>
      <c r="D422" s="66" t="s">
        <v>82</v>
      </c>
    </row>
    <row r="423" spans="1:4" x14ac:dyDescent="0.25">
      <c r="A423" s="65" t="s">
        <v>7</v>
      </c>
      <c r="B423" s="65" t="s">
        <v>10</v>
      </c>
      <c r="C423" s="65">
        <v>2018</v>
      </c>
      <c r="D423" s="65" t="s">
        <v>24</v>
      </c>
    </row>
    <row r="424" spans="1:4" x14ac:dyDescent="0.25">
      <c r="A424" s="66" t="s">
        <v>7</v>
      </c>
      <c r="B424" s="66" t="s">
        <v>10</v>
      </c>
      <c r="C424" s="66">
        <v>2018</v>
      </c>
      <c r="D424" s="66" t="s">
        <v>88</v>
      </c>
    </row>
    <row r="425" spans="1:4" x14ac:dyDescent="0.25">
      <c r="A425" s="65" t="s">
        <v>7</v>
      </c>
      <c r="B425" s="65" t="s">
        <v>10</v>
      </c>
      <c r="C425" s="65">
        <v>2018</v>
      </c>
      <c r="D425" s="65" t="s">
        <v>16</v>
      </c>
    </row>
    <row r="426" spans="1:4" x14ac:dyDescent="0.25">
      <c r="A426" s="66" t="s">
        <v>7</v>
      </c>
      <c r="B426" s="66" t="s">
        <v>10</v>
      </c>
      <c r="C426" s="66">
        <v>2019</v>
      </c>
      <c r="D426" s="66" t="s">
        <v>63</v>
      </c>
    </row>
    <row r="427" spans="1:4" x14ac:dyDescent="0.25">
      <c r="A427" s="65" t="s">
        <v>7</v>
      </c>
      <c r="B427" s="65" t="s">
        <v>10</v>
      </c>
      <c r="C427" s="65">
        <v>2018</v>
      </c>
      <c r="D427" s="65" t="s">
        <v>33</v>
      </c>
    </row>
    <row r="428" spans="1:4" x14ac:dyDescent="0.25">
      <c r="A428" s="66" t="s">
        <v>7</v>
      </c>
      <c r="B428" s="66" t="s">
        <v>97</v>
      </c>
      <c r="C428" s="66">
        <v>2018</v>
      </c>
      <c r="D428" s="66" t="s">
        <v>82</v>
      </c>
    </row>
    <row r="429" spans="1:4" x14ac:dyDescent="0.25">
      <c r="A429" s="65" t="s">
        <v>7</v>
      </c>
      <c r="B429" s="65" t="s">
        <v>10</v>
      </c>
      <c r="C429" s="65">
        <v>2020</v>
      </c>
      <c r="D429" s="65" t="s">
        <v>48</v>
      </c>
    </row>
    <row r="430" spans="1:4" x14ac:dyDescent="0.25">
      <c r="A430" s="66" t="s">
        <v>7</v>
      </c>
      <c r="B430" s="66" t="s">
        <v>10</v>
      </c>
      <c r="C430" s="66">
        <v>2020</v>
      </c>
      <c r="D430" s="66" t="s">
        <v>67</v>
      </c>
    </row>
    <row r="431" spans="1:4" x14ac:dyDescent="0.25">
      <c r="A431" s="65" t="s">
        <v>7</v>
      </c>
      <c r="B431" s="65" t="s">
        <v>62</v>
      </c>
      <c r="C431" s="65">
        <v>2018</v>
      </c>
      <c r="D431" s="65" t="s">
        <v>20</v>
      </c>
    </row>
    <row r="432" spans="1:4" x14ac:dyDescent="0.25">
      <c r="A432" s="66" t="s">
        <v>7</v>
      </c>
      <c r="B432" s="66" t="s">
        <v>62</v>
      </c>
      <c r="C432" s="66">
        <v>2017</v>
      </c>
      <c r="D432" s="66" t="s">
        <v>106</v>
      </c>
    </row>
    <row r="433" spans="1:4" x14ac:dyDescent="0.25">
      <c r="A433" s="65" t="s">
        <v>7</v>
      </c>
      <c r="B433" s="65" t="s">
        <v>62</v>
      </c>
      <c r="C433" s="65">
        <v>2018</v>
      </c>
      <c r="D433" s="65" t="s">
        <v>41</v>
      </c>
    </row>
    <row r="434" spans="1:4" x14ac:dyDescent="0.25">
      <c r="A434" s="66" t="s">
        <v>7</v>
      </c>
      <c r="B434" s="66" t="s">
        <v>220</v>
      </c>
      <c r="C434" s="66">
        <v>2018</v>
      </c>
      <c r="D434" s="66" t="s">
        <v>82</v>
      </c>
    </row>
    <row r="435" spans="1:4" x14ac:dyDescent="0.25">
      <c r="A435" s="65" t="s">
        <v>7</v>
      </c>
      <c r="B435" s="65" t="s">
        <v>10</v>
      </c>
      <c r="C435" s="65">
        <v>2018</v>
      </c>
      <c r="D435" s="65" t="s">
        <v>115</v>
      </c>
    </row>
    <row r="436" spans="1:4" x14ac:dyDescent="0.25">
      <c r="A436" s="66" t="s">
        <v>7</v>
      </c>
      <c r="B436" s="66" t="s">
        <v>10</v>
      </c>
      <c r="C436" s="66">
        <v>2018</v>
      </c>
      <c r="D436" s="66" t="s">
        <v>88</v>
      </c>
    </row>
    <row r="437" spans="1:4" x14ac:dyDescent="0.25">
      <c r="A437" s="65" t="s">
        <v>7</v>
      </c>
      <c r="B437" s="65" t="s">
        <v>97</v>
      </c>
      <c r="C437" s="65">
        <v>2017</v>
      </c>
      <c r="D437" s="65" t="s">
        <v>24</v>
      </c>
    </row>
    <row r="438" spans="1:4" x14ac:dyDescent="0.25">
      <c r="A438" s="66" t="s">
        <v>7</v>
      </c>
      <c r="B438" s="66" t="s">
        <v>10</v>
      </c>
      <c r="C438" s="66">
        <v>2020</v>
      </c>
      <c r="D438" s="66" t="s">
        <v>55</v>
      </c>
    </row>
    <row r="439" spans="1:4" x14ac:dyDescent="0.25">
      <c r="A439" s="65" t="s">
        <v>7</v>
      </c>
      <c r="B439" s="65" t="s">
        <v>62</v>
      </c>
      <c r="C439" s="65">
        <v>2020</v>
      </c>
      <c r="D439" s="65" t="s">
        <v>124</v>
      </c>
    </row>
    <row r="440" spans="1:4" x14ac:dyDescent="0.25">
      <c r="A440" s="66" t="s">
        <v>7</v>
      </c>
      <c r="B440" s="66" t="s">
        <v>10</v>
      </c>
      <c r="C440" s="66">
        <v>2018</v>
      </c>
      <c r="D440" s="66" t="s">
        <v>29</v>
      </c>
    </row>
    <row r="441" spans="1:4" x14ac:dyDescent="0.25">
      <c r="A441" s="65" t="s">
        <v>7</v>
      </c>
      <c r="B441" s="65" t="s">
        <v>129</v>
      </c>
      <c r="C441" s="65">
        <v>2020</v>
      </c>
      <c r="D441" s="65" t="s">
        <v>130</v>
      </c>
    </row>
    <row r="442" spans="1:4" x14ac:dyDescent="0.25">
      <c r="A442" s="66" t="s">
        <v>7</v>
      </c>
      <c r="B442" s="66" t="s">
        <v>10</v>
      </c>
      <c r="C442" s="66">
        <v>2017</v>
      </c>
      <c r="D442" s="66" t="s">
        <v>52</v>
      </c>
    </row>
    <row r="443" spans="1:4" x14ac:dyDescent="0.25">
      <c r="A443" s="65" t="s">
        <v>7</v>
      </c>
      <c r="B443" s="65" t="s">
        <v>10</v>
      </c>
      <c r="C443" s="65">
        <v>2017</v>
      </c>
      <c r="D443" s="65" t="s">
        <v>23</v>
      </c>
    </row>
    <row r="444" spans="1:4" x14ac:dyDescent="0.25">
      <c r="A444" s="66" t="s">
        <v>7</v>
      </c>
      <c r="B444" s="66" t="s">
        <v>10</v>
      </c>
      <c r="C444" s="66">
        <v>2020</v>
      </c>
      <c r="D444" s="66" t="s">
        <v>110</v>
      </c>
    </row>
    <row r="445" spans="1:4" x14ac:dyDescent="0.25">
      <c r="A445" s="65" t="s">
        <v>7</v>
      </c>
      <c r="B445" s="65" t="s">
        <v>140</v>
      </c>
      <c r="C445" s="65">
        <v>2017</v>
      </c>
      <c r="D445" s="65" t="s">
        <v>37</v>
      </c>
    </row>
    <row r="446" spans="1:4" x14ac:dyDescent="0.25">
      <c r="A446" s="66" t="s">
        <v>7</v>
      </c>
      <c r="B446" s="66" t="s">
        <v>97</v>
      </c>
      <c r="C446" s="66">
        <v>2019</v>
      </c>
      <c r="D446" s="66" t="s">
        <v>88</v>
      </c>
    </row>
    <row r="447" spans="1:4" x14ac:dyDescent="0.25">
      <c r="A447" s="65" t="s">
        <v>7</v>
      </c>
      <c r="B447" s="65" t="s">
        <v>10</v>
      </c>
      <c r="C447" s="65">
        <v>2018</v>
      </c>
      <c r="D447" s="65" t="s">
        <v>33</v>
      </c>
    </row>
    <row r="448" spans="1:4" x14ac:dyDescent="0.25">
      <c r="A448" s="66" t="s">
        <v>7</v>
      </c>
      <c r="B448" s="66" t="s">
        <v>10</v>
      </c>
      <c r="C448" s="66">
        <v>2019</v>
      </c>
      <c r="D448" s="66" t="s">
        <v>55</v>
      </c>
    </row>
    <row r="449" spans="1:4" x14ac:dyDescent="0.25">
      <c r="A449" s="65" t="s">
        <v>7</v>
      </c>
      <c r="B449" s="65" t="s">
        <v>62</v>
      </c>
      <c r="C449" s="65">
        <v>2018</v>
      </c>
      <c r="D449" s="65" t="s">
        <v>130</v>
      </c>
    </row>
    <row r="450" spans="1:4" x14ac:dyDescent="0.25">
      <c r="A450" s="66" t="s">
        <v>7</v>
      </c>
      <c r="B450" s="66" t="s">
        <v>10</v>
      </c>
      <c r="C450" s="66">
        <v>2017</v>
      </c>
      <c r="D450" s="66" t="s">
        <v>33</v>
      </c>
    </row>
    <row r="451" spans="1:4" x14ac:dyDescent="0.25">
      <c r="A451" s="65" t="s">
        <v>7</v>
      </c>
      <c r="B451" s="65" t="s">
        <v>635</v>
      </c>
      <c r="C451" s="65">
        <v>2018</v>
      </c>
      <c r="D451" s="65" t="s">
        <v>88</v>
      </c>
    </row>
    <row r="452" spans="1:4" x14ac:dyDescent="0.25">
      <c r="A452" s="66" t="s">
        <v>7</v>
      </c>
      <c r="B452" s="66" t="s">
        <v>10</v>
      </c>
      <c r="C452" s="66">
        <v>2017</v>
      </c>
      <c r="D452" s="66" t="s">
        <v>12</v>
      </c>
    </row>
    <row r="453" spans="1:4" x14ac:dyDescent="0.25">
      <c r="A453" s="65" t="s">
        <v>7</v>
      </c>
      <c r="B453" s="65" t="s">
        <v>62</v>
      </c>
      <c r="C453" s="65">
        <v>2019</v>
      </c>
      <c r="D453" s="65" t="s">
        <v>77</v>
      </c>
    </row>
    <row r="454" spans="1:4" x14ac:dyDescent="0.25">
      <c r="A454" s="66" t="s">
        <v>7</v>
      </c>
      <c r="B454" s="66" t="s">
        <v>10</v>
      </c>
      <c r="C454" s="66">
        <v>2020</v>
      </c>
      <c r="D454" s="66" t="s">
        <v>88</v>
      </c>
    </row>
    <row r="455" spans="1:4" x14ac:dyDescent="0.25">
      <c r="A455" s="65" t="s">
        <v>7</v>
      </c>
      <c r="B455" s="65" t="s">
        <v>10</v>
      </c>
      <c r="C455" s="65">
        <v>2018</v>
      </c>
      <c r="D455" s="65" t="s">
        <v>115</v>
      </c>
    </row>
    <row r="456" spans="1:4" x14ac:dyDescent="0.25">
      <c r="A456" s="66" t="s">
        <v>7</v>
      </c>
      <c r="B456" s="66" t="s">
        <v>62</v>
      </c>
      <c r="C456" s="66">
        <v>2018</v>
      </c>
      <c r="D456" s="66" t="s">
        <v>48</v>
      </c>
    </row>
    <row r="457" spans="1:4" x14ac:dyDescent="0.25">
      <c r="A457" s="65" t="s">
        <v>7</v>
      </c>
      <c r="B457" s="65" t="s">
        <v>62</v>
      </c>
      <c r="C457" s="65">
        <v>2019</v>
      </c>
      <c r="D457" s="65" t="s">
        <v>11</v>
      </c>
    </row>
    <row r="458" spans="1:4" x14ac:dyDescent="0.25">
      <c r="A458" s="66" t="s">
        <v>7</v>
      </c>
      <c r="B458" s="66" t="s">
        <v>220</v>
      </c>
      <c r="C458" s="66">
        <v>2017</v>
      </c>
      <c r="D458" s="66" t="s">
        <v>63</v>
      </c>
    </row>
    <row r="459" spans="1:4" x14ac:dyDescent="0.25">
      <c r="A459" s="65" t="s">
        <v>7</v>
      </c>
      <c r="B459" s="65" t="s">
        <v>10</v>
      </c>
      <c r="C459" s="65">
        <v>2019</v>
      </c>
      <c r="D459" s="65" t="s">
        <v>124</v>
      </c>
    </row>
    <row r="460" spans="1:4" x14ac:dyDescent="0.25">
      <c r="A460" s="66" t="s">
        <v>7</v>
      </c>
      <c r="B460" s="66" t="s">
        <v>173</v>
      </c>
      <c r="C460" s="66">
        <v>2020</v>
      </c>
      <c r="D460" s="66" t="s">
        <v>55</v>
      </c>
    </row>
    <row r="461" spans="1:4" x14ac:dyDescent="0.25">
      <c r="A461" s="65" t="s">
        <v>7</v>
      </c>
      <c r="B461" s="65" t="s">
        <v>10</v>
      </c>
      <c r="C461" s="65">
        <v>2017</v>
      </c>
      <c r="D461" s="65" t="s">
        <v>63</v>
      </c>
    </row>
    <row r="462" spans="1:4" x14ac:dyDescent="0.25">
      <c r="A462" s="66" t="s">
        <v>7</v>
      </c>
      <c r="B462" s="66" t="s">
        <v>140</v>
      </c>
      <c r="C462" s="66">
        <v>2017</v>
      </c>
      <c r="D462" s="66" t="s">
        <v>37</v>
      </c>
    </row>
    <row r="463" spans="1:4" x14ac:dyDescent="0.25">
      <c r="A463" s="65" t="s">
        <v>7</v>
      </c>
      <c r="B463" s="65" t="s">
        <v>220</v>
      </c>
      <c r="C463" s="65">
        <v>2017</v>
      </c>
      <c r="D463" s="65" t="s">
        <v>12</v>
      </c>
    </row>
    <row r="464" spans="1:4" x14ac:dyDescent="0.25">
      <c r="A464" s="66" t="s">
        <v>7</v>
      </c>
      <c r="B464" s="66" t="s">
        <v>10</v>
      </c>
      <c r="C464" s="66">
        <v>2019</v>
      </c>
      <c r="D464" s="66" t="s">
        <v>12</v>
      </c>
    </row>
    <row r="465" spans="1:4" x14ac:dyDescent="0.25">
      <c r="A465" s="65" t="s">
        <v>7</v>
      </c>
      <c r="B465" s="65" t="s">
        <v>173</v>
      </c>
      <c r="C465" s="65">
        <v>2019</v>
      </c>
      <c r="D465" s="65" t="s">
        <v>37</v>
      </c>
    </row>
    <row r="466" spans="1:4" x14ac:dyDescent="0.25">
      <c r="A466" s="66" t="s">
        <v>7</v>
      </c>
      <c r="B466" s="66" t="s">
        <v>97</v>
      </c>
      <c r="C466" s="66">
        <v>2018</v>
      </c>
      <c r="D466" s="66" t="s">
        <v>24</v>
      </c>
    </row>
    <row r="467" spans="1:4" x14ac:dyDescent="0.25">
      <c r="A467" s="65" t="s">
        <v>7</v>
      </c>
      <c r="B467" s="65" t="s">
        <v>140</v>
      </c>
      <c r="C467" s="65">
        <v>2017</v>
      </c>
      <c r="D467" s="65" t="s">
        <v>33</v>
      </c>
    </row>
    <row r="468" spans="1:4" x14ac:dyDescent="0.25">
      <c r="A468" s="66" t="s">
        <v>7</v>
      </c>
      <c r="B468" s="66" t="s">
        <v>10</v>
      </c>
      <c r="C468" s="66">
        <v>2019</v>
      </c>
      <c r="D468" s="66" t="s">
        <v>33</v>
      </c>
    </row>
    <row r="469" spans="1:4" x14ac:dyDescent="0.25">
      <c r="A469" s="65" t="s">
        <v>7</v>
      </c>
      <c r="B469" s="65" t="s">
        <v>10</v>
      </c>
      <c r="C469" s="65">
        <v>2019</v>
      </c>
      <c r="D469" s="65" t="s">
        <v>110</v>
      </c>
    </row>
    <row r="470" spans="1:4" x14ac:dyDescent="0.25">
      <c r="A470" s="66" t="s">
        <v>7</v>
      </c>
      <c r="B470" s="66" t="s">
        <v>140</v>
      </c>
      <c r="C470" s="66">
        <v>2020</v>
      </c>
      <c r="D470" s="66" t="s">
        <v>33</v>
      </c>
    </row>
    <row r="471" spans="1:4" x14ac:dyDescent="0.25">
      <c r="A471" s="65" t="s">
        <v>7</v>
      </c>
      <c r="B471" s="65" t="s">
        <v>10</v>
      </c>
      <c r="C471" s="65">
        <v>2020</v>
      </c>
      <c r="D471" s="65" t="s">
        <v>77</v>
      </c>
    </row>
    <row r="472" spans="1:4" x14ac:dyDescent="0.25">
      <c r="A472" s="66" t="s">
        <v>7</v>
      </c>
      <c r="B472" s="66" t="s">
        <v>10</v>
      </c>
      <c r="C472" s="66">
        <v>2020</v>
      </c>
      <c r="D472" s="66" t="s">
        <v>23</v>
      </c>
    </row>
    <row r="473" spans="1:4" x14ac:dyDescent="0.25">
      <c r="A473" s="65" t="s">
        <v>7</v>
      </c>
      <c r="B473" s="65" t="s">
        <v>10</v>
      </c>
      <c r="C473" s="65">
        <v>2020</v>
      </c>
      <c r="D473" s="65" t="s">
        <v>106</v>
      </c>
    </row>
    <row r="474" spans="1:4" x14ac:dyDescent="0.25">
      <c r="A474" s="66" t="s">
        <v>7</v>
      </c>
      <c r="B474" s="66" t="s">
        <v>62</v>
      </c>
      <c r="C474" s="66">
        <v>2017</v>
      </c>
      <c r="D474" s="66" t="s">
        <v>28</v>
      </c>
    </row>
    <row r="475" spans="1:4" x14ac:dyDescent="0.25">
      <c r="A475" s="65" t="s">
        <v>7</v>
      </c>
      <c r="B475" s="65" t="s">
        <v>10</v>
      </c>
      <c r="C475" s="65">
        <v>2017</v>
      </c>
      <c r="D475" s="65" t="s">
        <v>20</v>
      </c>
    </row>
    <row r="476" spans="1:4" x14ac:dyDescent="0.25">
      <c r="A476" s="66" t="s">
        <v>7</v>
      </c>
      <c r="B476" s="66" t="s">
        <v>10</v>
      </c>
      <c r="C476" s="66">
        <v>2018</v>
      </c>
      <c r="D476" s="66" t="s">
        <v>110</v>
      </c>
    </row>
    <row r="477" spans="1:4" x14ac:dyDescent="0.25">
      <c r="A477" s="65" t="s">
        <v>7</v>
      </c>
      <c r="B477" s="65" t="s">
        <v>10</v>
      </c>
      <c r="C477" s="65">
        <v>2020</v>
      </c>
      <c r="D477" s="65" t="s">
        <v>55</v>
      </c>
    </row>
    <row r="478" spans="1:4" x14ac:dyDescent="0.25">
      <c r="A478" s="66" t="s">
        <v>7</v>
      </c>
      <c r="B478" s="66" t="s">
        <v>10</v>
      </c>
      <c r="C478" s="66">
        <v>2017</v>
      </c>
      <c r="D478" s="66" t="s">
        <v>147</v>
      </c>
    </row>
    <row r="479" spans="1:4" x14ac:dyDescent="0.25">
      <c r="A479" s="65" t="s">
        <v>7</v>
      </c>
      <c r="B479" s="65" t="s">
        <v>10</v>
      </c>
      <c r="C479" s="65">
        <v>2017</v>
      </c>
      <c r="D479" s="65" t="s">
        <v>36</v>
      </c>
    </row>
    <row r="480" spans="1:4" x14ac:dyDescent="0.25">
      <c r="A480" s="66" t="s">
        <v>7</v>
      </c>
      <c r="B480" s="66" t="s">
        <v>97</v>
      </c>
      <c r="C480" s="66">
        <v>2017</v>
      </c>
      <c r="D480" s="66" t="s">
        <v>215</v>
      </c>
    </row>
    <row r="481" spans="1:4" x14ac:dyDescent="0.25">
      <c r="A481" s="65" t="s">
        <v>7</v>
      </c>
      <c r="B481" s="65" t="s">
        <v>62</v>
      </c>
      <c r="C481" s="65">
        <v>2020</v>
      </c>
      <c r="D481" s="65" t="s">
        <v>115</v>
      </c>
    </row>
    <row r="482" spans="1:4" x14ac:dyDescent="0.25">
      <c r="A482" s="66" t="s">
        <v>7</v>
      </c>
      <c r="B482" s="66" t="s">
        <v>220</v>
      </c>
      <c r="C482" s="66">
        <v>2020</v>
      </c>
      <c r="D482" s="66" t="s">
        <v>130</v>
      </c>
    </row>
    <row r="483" spans="1:4" x14ac:dyDescent="0.25">
      <c r="A483" s="65" t="s">
        <v>7</v>
      </c>
      <c r="B483" s="65" t="s">
        <v>10</v>
      </c>
      <c r="C483" s="65">
        <v>2020</v>
      </c>
      <c r="D483" s="65" t="s">
        <v>115</v>
      </c>
    </row>
    <row r="484" spans="1:4" x14ac:dyDescent="0.25">
      <c r="A484" s="66" t="s">
        <v>7</v>
      </c>
      <c r="B484" s="66" t="s">
        <v>10</v>
      </c>
      <c r="C484" s="66">
        <v>2020</v>
      </c>
      <c r="D484" s="66" t="s">
        <v>130</v>
      </c>
    </row>
    <row r="485" spans="1:4" x14ac:dyDescent="0.25">
      <c r="A485" s="65" t="s">
        <v>7</v>
      </c>
      <c r="B485" s="65" t="s">
        <v>10</v>
      </c>
      <c r="C485" s="65">
        <v>2017</v>
      </c>
      <c r="D485" s="65" t="s">
        <v>124</v>
      </c>
    </row>
    <row r="486" spans="1:4" x14ac:dyDescent="0.25">
      <c r="A486" s="66" t="s">
        <v>7</v>
      </c>
      <c r="B486" s="66" t="s">
        <v>10</v>
      </c>
      <c r="C486" s="66">
        <v>2019</v>
      </c>
      <c r="D486" s="66" t="s">
        <v>55</v>
      </c>
    </row>
    <row r="487" spans="1:4" x14ac:dyDescent="0.25">
      <c r="A487" s="65" t="s">
        <v>7</v>
      </c>
      <c r="B487" s="65" t="s">
        <v>10</v>
      </c>
      <c r="C487" s="65">
        <v>2017</v>
      </c>
      <c r="D487" s="65" t="s">
        <v>48</v>
      </c>
    </row>
    <row r="488" spans="1:4" x14ac:dyDescent="0.25">
      <c r="A488" s="66" t="s">
        <v>7</v>
      </c>
      <c r="B488" s="66" t="s">
        <v>10</v>
      </c>
      <c r="C488" s="66">
        <v>2020</v>
      </c>
      <c r="D488" s="66" t="s">
        <v>23</v>
      </c>
    </row>
    <row r="489" spans="1:4" x14ac:dyDescent="0.25">
      <c r="A489" s="65" t="s">
        <v>7</v>
      </c>
      <c r="B489" s="65" t="s">
        <v>10</v>
      </c>
      <c r="C489" s="65">
        <v>2020</v>
      </c>
      <c r="D489" s="65" t="s">
        <v>29</v>
      </c>
    </row>
    <row r="490" spans="1:4" x14ac:dyDescent="0.25">
      <c r="A490" s="66" t="s">
        <v>7</v>
      </c>
      <c r="B490" s="66" t="s">
        <v>173</v>
      </c>
      <c r="C490" s="66">
        <v>2020</v>
      </c>
      <c r="D490" s="66" t="s">
        <v>215</v>
      </c>
    </row>
    <row r="491" spans="1:4" x14ac:dyDescent="0.25">
      <c r="A491" s="65" t="s">
        <v>7</v>
      </c>
      <c r="B491" s="65" t="s">
        <v>10</v>
      </c>
      <c r="C491" s="65">
        <v>2019</v>
      </c>
      <c r="D491" s="65" t="s">
        <v>215</v>
      </c>
    </row>
    <row r="492" spans="1:4" x14ac:dyDescent="0.25">
      <c r="A492" s="66" t="s">
        <v>7</v>
      </c>
      <c r="B492" s="66" t="s">
        <v>173</v>
      </c>
      <c r="C492" s="66">
        <v>2018</v>
      </c>
      <c r="D492" s="66" t="s">
        <v>24</v>
      </c>
    </row>
    <row r="493" spans="1:4" x14ac:dyDescent="0.25">
      <c r="A493" s="65" t="s">
        <v>7</v>
      </c>
      <c r="B493" s="65" t="s">
        <v>10</v>
      </c>
      <c r="C493" s="65">
        <v>2017</v>
      </c>
      <c r="D493" s="65" t="s">
        <v>28</v>
      </c>
    </row>
    <row r="494" spans="1:4" x14ac:dyDescent="0.25">
      <c r="A494" s="66" t="s">
        <v>7</v>
      </c>
      <c r="B494" s="66" t="s">
        <v>62</v>
      </c>
      <c r="C494" s="66">
        <v>2018</v>
      </c>
      <c r="D494" s="66" t="s">
        <v>115</v>
      </c>
    </row>
    <row r="495" spans="1:4" x14ac:dyDescent="0.25">
      <c r="A495" s="65" t="s">
        <v>7</v>
      </c>
      <c r="B495" s="65" t="s">
        <v>10</v>
      </c>
      <c r="C495" s="65">
        <v>2019</v>
      </c>
      <c r="D495" s="65" t="s">
        <v>63</v>
      </c>
    </row>
    <row r="496" spans="1:4" x14ac:dyDescent="0.25">
      <c r="A496" s="66" t="s">
        <v>7</v>
      </c>
      <c r="B496" s="66" t="s">
        <v>10</v>
      </c>
      <c r="C496" s="66">
        <v>2020</v>
      </c>
      <c r="D496" s="66" t="s">
        <v>12</v>
      </c>
    </row>
    <row r="497" spans="1:4" x14ac:dyDescent="0.25">
      <c r="A497" s="65" t="s">
        <v>7</v>
      </c>
      <c r="B497" s="65" t="s">
        <v>10</v>
      </c>
      <c r="C497" s="65">
        <v>2020</v>
      </c>
      <c r="D497" s="65" t="s">
        <v>77</v>
      </c>
    </row>
    <row r="498" spans="1:4" x14ac:dyDescent="0.25">
      <c r="A498" s="66" t="s">
        <v>7</v>
      </c>
      <c r="B498" s="66" t="s">
        <v>10</v>
      </c>
      <c r="C498" s="66">
        <v>2020</v>
      </c>
      <c r="D498" s="66" t="s">
        <v>20</v>
      </c>
    </row>
    <row r="499" spans="1:4" x14ac:dyDescent="0.25">
      <c r="A499" s="65" t="s">
        <v>7</v>
      </c>
      <c r="B499" s="65" t="s">
        <v>173</v>
      </c>
      <c r="C499" s="65">
        <v>2019</v>
      </c>
      <c r="D499" s="65" t="s">
        <v>115</v>
      </c>
    </row>
    <row r="500" spans="1:4" x14ac:dyDescent="0.25">
      <c r="A500" s="66" t="s">
        <v>7</v>
      </c>
      <c r="B500" s="66" t="s">
        <v>10</v>
      </c>
      <c r="C500" s="66">
        <v>2020</v>
      </c>
      <c r="D500" s="66" t="s">
        <v>20</v>
      </c>
    </row>
    <row r="501" spans="1:4" x14ac:dyDescent="0.25">
      <c r="A501" s="65" t="s">
        <v>7</v>
      </c>
      <c r="B501" s="65" t="s">
        <v>62</v>
      </c>
      <c r="C501" s="65">
        <v>2019</v>
      </c>
      <c r="D501" s="65" t="s">
        <v>75</v>
      </c>
    </row>
    <row r="502" spans="1:4" x14ac:dyDescent="0.25">
      <c r="A502" s="66" t="s">
        <v>255</v>
      </c>
      <c r="B502" s="66" t="s">
        <v>256</v>
      </c>
      <c r="C502" s="66">
        <v>2020</v>
      </c>
      <c r="D502" s="66" t="s">
        <v>130</v>
      </c>
    </row>
    <row r="503" spans="1:4" x14ac:dyDescent="0.25">
      <c r="A503" s="65" t="s">
        <v>255</v>
      </c>
      <c r="B503" s="65" t="s">
        <v>261</v>
      </c>
      <c r="C503" s="65">
        <v>2017</v>
      </c>
      <c r="D503" s="65" t="s">
        <v>20</v>
      </c>
    </row>
    <row r="504" spans="1:4" x14ac:dyDescent="0.25">
      <c r="A504" s="66" t="s">
        <v>255</v>
      </c>
      <c r="B504" s="66" t="s">
        <v>266</v>
      </c>
      <c r="C504" s="66">
        <v>2018</v>
      </c>
      <c r="D504" s="66" t="s">
        <v>24</v>
      </c>
    </row>
    <row r="505" spans="1:4" x14ac:dyDescent="0.25">
      <c r="A505" s="65" t="s">
        <v>255</v>
      </c>
      <c r="B505" s="65" t="s">
        <v>266</v>
      </c>
      <c r="C505" s="65">
        <v>2019</v>
      </c>
      <c r="D505" s="65" t="s">
        <v>16</v>
      </c>
    </row>
    <row r="506" spans="1:4" x14ac:dyDescent="0.25">
      <c r="A506" s="66" t="s">
        <v>255</v>
      </c>
      <c r="B506" s="66" t="s">
        <v>275</v>
      </c>
      <c r="C506" s="66">
        <v>2017</v>
      </c>
      <c r="D506" s="66" t="s">
        <v>33</v>
      </c>
    </row>
    <row r="507" spans="1:4" x14ac:dyDescent="0.25">
      <c r="A507" s="65" t="s">
        <v>255</v>
      </c>
      <c r="B507" s="65" t="s">
        <v>256</v>
      </c>
      <c r="C507" s="65">
        <v>2018</v>
      </c>
      <c r="D507" s="65" t="s">
        <v>130</v>
      </c>
    </row>
    <row r="508" spans="1:4" x14ac:dyDescent="0.25">
      <c r="A508" s="66" t="s">
        <v>255</v>
      </c>
      <c r="B508" s="66" t="s">
        <v>284</v>
      </c>
      <c r="C508" s="66">
        <v>2018</v>
      </c>
      <c r="D508" s="66" t="s">
        <v>12</v>
      </c>
    </row>
    <row r="509" spans="1:4" x14ac:dyDescent="0.25">
      <c r="A509" s="65" t="s">
        <v>255</v>
      </c>
      <c r="B509" s="65" t="s">
        <v>275</v>
      </c>
      <c r="C509" s="65">
        <v>2020</v>
      </c>
      <c r="D509" s="65" t="s">
        <v>130</v>
      </c>
    </row>
    <row r="510" spans="1:4" x14ac:dyDescent="0.25">
      <c r="A510" s="66" t="s">
        <v>255</v>
      </c>
      <c r="B510" s="66" t="s">
        <v>266</v>
      </c>
      <c r="C510" s="66">
        <v>2017</v>
      </c>
      <c r="D510" s="66" t="s">
        <v>215</v>
      </c>
    </row>
    <row r="511" spans="1:4" x14ac:dyDescent="0.25">
      <c r="A511" s="65" t="s">
        <v>255</v>
      </c>
      <c r="B511" s="65" t="s">
        <v>256</v>
      </c>
      <c r="C511" s="65">
        <v>2019</v>
      </c>
      <c r="D511" s="65" t="s">
        <v>55</v>
      </c>
    </row>
    <row r="512" spans="1:4" x14ac:dyDescent="0.25">
      <c r="A512" s="66" t="s">
        <v>255</v>
      </c>
      <c r="B512" s="66" t="s">
        <v>256</v>
      </c>
      <c r="C512" s="66">
        <v>2020</v>
      </c>
      <c r="D512" s="66" t="s">
        <v>75</v>
      </c>
    </row>
    <row r="513" spans="1:4" x14ac:dyDescent="0.25">
      <c r="A513" s="65" t="s">
        <v>255</v>
      </c>
      <c r="B513" s="65" t="s">
        <v>275</v>
      </c>
      <c r="C513" s="65">
        <v>2019</v>
      </c>
      <c r="D513" s="65" t="s">
        <v>41</v>
      </c>
    </row>
    <row r="514" spans="1:4" x14ac:dyDescent="0.25">
      <c r="A514" s="66" t="s">
        <v>255</v>
      </c>
      <c r="B514" s="66" t="s">
        <v>256</v>
      </c>
      <c r="C514" s="66">
        <v>2020</v>
      </c>
      <c r="D514" s="66" t="s">
        <v>63</v>
      </c>
    </row>
    <row r="515" spans="1:4" x14ac:dyDescent="0.25">
      <c r="A515" s="65" t="s">
        <v>255</v>
      </c>
      <c r="B515" s="65" t="s">
        <v>275</v>
      </c>
      <c r="C515" s="65">
        <v>2020</v>
      </c>
      <c r="D515" s="65" t="s">
        <v>130</v>
      </c>
    </row>
    <row r="516" spans="1:4" x14ac:dyDescent="0.25">
      <c r="A516" s="66" t="s">
        <v>255</v>
      </c>
      <c r="B516" s="66" t="s">
        <v>275</v>
      </c>
      <c r="C516" s="66">
        <v>2017</v>
      </c>
      <c r="D516" s="66" t="s">
        <v>33</v>
      </c>
    </row>
    <row r="517" spans="1:4" x14ac:dyDescent="0.25">
      <c r="A517" s="65" t="s">
        <v>255</v>
      </c>
      <c r="B517" s="65" t="s">
        <v>319</v>
      </c>
      <c r="C517" s="65">
        <v>2019</v>
      </c>
      <c r="D517" s="65" t="s">
        <v>52</v>
      </c>
    </row>
    <row r="518" spans="1:4" x14ac:dyDescent="0.25">
      <c r="A518" s="66" t="s">
        <v>255</v>
      </c>
      <c r="B518" s="66" t="s">
        <v>256</v>
      </c>
      <c r="C518" s="66">
        <v>2018</v>
      </c>
      <c r="D518" s="66" t="s">
        <v>115</v>
      </c>
    </row>
    <row r="519" spans="1:4" x14ac:dyDescent="0.25">
      <c r="A519" s="65" t="s">
        <v>255</v>
      </c>
      <c r="B519" s="65" t="s">
        <v>327</v>
      </c>
      <c r="C519" s="65">
        <v>2017</v>
      </c>
      <c r="D519" s="65" t="s">
        <v>48</v>
      </c>
    </row>
    <row r="520" spans="1:4" x14ac:dyDescent="0.25">
      <c r="A520" s="66" t="s">
        <v>255</v>
      </c>
      <c r="B520" s="66" t="s">
        <v>275</v>
      </c>
      <c r="C520" s="66">
        <v>2020</v>
      </c>
      <c r="D520" s="66" t="s">
        <v>215</v>
      </c>
    </row>
    <row r="521" spans="1:4" x14ac:dyDescent="0.25">
      <c r="A521" s="65" t="s">
        <v>255</v>
      </c>
      <c r="B521" s="65" t="s">
        <v>256</v>
      </c>
      <c r="C521" s="65">
        <v>2019</v>
      </c>
      <c r="D521" s="65" t="s">
        <v>28</v>
      </c>
    </row>
    <row r="522" spans="1:4" x14ac:dyDescent="0.25">
      <c r="A522" s="66" t="s">
        <v>255</v>
      </c>
      <c r="B522" s="66" t="s">
        <v>256</v>
      </c>
      <c r="C522" s="66">
        <v>2017</v>
      </c>
      <c r="D522" s="66" t="s">
        <v>77</v>
      </c>
    </row>
    <row r="523" spans="1:4" x14ac:dyDescent="0.25">
      <c r="A523" s="65" t="s">
        <v>255</v>
      </c>
      <c r="B523" s="65" t="s">
        <v>344</v>
      </c>
      <c r="C523" s="65">
        <v>2017</v>
      </c>
      <c r="D523" s="65" t="s">
        <v>37</v>
      </c>
    </row>
    <row r="524" spans="1:4" x14ac:dyDescent="0.25">
      <c r="A524" s="66" t="s">
        <v>255</v>
      </c>
      <c r="B524" s="66" t="s">
        <v>256</v>
      </c>
      <c r="C524" s="66">
        <v>2018</v>
      </c>
      <c r="D524" s="66" t="s">
        <v>12</v>
      </c>
    </row>
    <row r="525" spans="1:4" x14ac:dyDescent="0.25">
      <c r="A525" s="65" t="s">
        <v>255</v>
      </c>
      <c r="B525" s="65" t="s">
        <v>319</v>
      </c>
      <c r="C525" s="65">
        <v>2020</v>
      </c>
      <c r="D525" s="65" t="s">
        <v>24</v>
      </c>
    </row>
    <row r="526" spans="1:4" x14ac:dyDescent="0.25">
      <c r="A526" s="66" t="s">
        <v>255</v>
      </c>
      <c r="B526" s="66" t="s">
        <v>275</v>
      </c>
      <c r="C526" s="66">
        <v>2018</v>
      </c>
      <c r="D526" s="66" t="s">
        <v>12</v>
      </c>
    </row>
    <row r="527" spans="1:4" x14ac:dyDescent="0.25">
      <c r="A527" s="65" t="s">
        <v>255</v>
      </c>
      <c r="B527" s="65" t="s">
        <v>327</v>
      </c>
      <c r="C527" s="65">
        <v>2018</v>
      </c>
      <c r="D527" s="65" t="s">
        <v>29</v>
      </c>
    </row>
    <row r="528" spans="1:4" x14ac:dyDescent="0.25">
      <c r="A528" s="66" t="s">
        <v>255</v>
      </c>
      <c r="B528" s="66" t="s">
        <v>275</v>
      </c>
      <c r="C528" s="66">
        <v>2018</v>
      </c>
      <c r="D528" s="66" t="s">
        <v>106</v>
      </c>
    </row>
    <row r="529" spans="1:4" x14ac:dyDescent="0.25">
      <c r="A529" s="65" t="s">
        <v>255</v>
      </c>
      <c r="B529" s="65" t="s">
        <v>266</v>
      </c>
      <c r="C529" s="65">
        <v>2019</v>
      </c>
      <c r="D529" s="65" t="s">
        <v>147</v>
      </c>
    </row>
    <row r="530" spans="1:4" x14ac:dyDescent="0.25">
      <c r="A530" s="66" t="s">
        <v>255</v>
      </c>
      <c r="B530" s="66" t="s">
        <v>275</v>
      </c>
      <c r="C530" s="66">
        <v>2018</v>
      </c>
      <c r="D530" s="66" t="s">
        <v>29</v>
      </c>
    </row>
    <row r="531" spans="1:4" x14ac:dyDescent="0.25">
      <c r="A531" s="65" t="s">
        <v>255</v>
      </c>
      <c r="B531" s="65" t="s">
        <v>275</v>
      </c>
      <c r="C531" s="65">
        <v>2020</v>
      </c>
      <c r="D531" s="65" t="s">
        <v>55</v>
      </c>
    </row>
    <row r="532" spans="1:4" x14ac:dyDescent="0.25">
      <c r="A532" s="66" t="s">
        <v>255</v>
      </c>
      <c r="B532" s="66" t="s">
        <v>275</v>
      </c>
      <c r="C532" s="66">
        <v>2020</v>
      </c>
      <c r="D532" s="66" t="s">
        <v>16</v>
      </c>
    </row>
    <row r="533" spans="1:4" x14ac:dyDescent="0.25">
      <c r="A533" s="65" t="s">
        <v>255</v>
      </c>
      <c r="B533" s="65" t="s">
        <v>256</v>
      </c>
      <c r="C533" s="65">
        <v>2018</v>
      </c>
      <c r="D533" s="65" t="s">
        <v>20</v>
      </c>
    </row>
    <row r="534" spans="1:4" x14ac:dyDescent="0.25">
      <c r="A534" s="66" t="s">
        <v>255</v>
      </c>
      <c r="B534" s="66" t="s">
        <v>256</v>
      </c>
      <c r="C534" s="66">
        <v>2018</v>
      </c>
      <c r="D534" s="66" t="s">
        <v>115</v>
      </c>
    </row>
    <row r="535" spans="1:4" x14ac:dyDescent="0.25">
      <c r="A535" s="65" t="s">
        <v>255</v>
      </c>
      <c r="B535" s="65" t="s">
        <v>256</v>
      </c>
      <c r="C535" s="65">
        <v>2019</v>
      </c>
      <c r="D535" s="65" t="s">
        <v>20</v>
      </c>
    </row>
    <row r="536" spans="1:4" x14ac:dyDescent="0.25">
      <c r="A536" s="66" t="s">
        <v>255</v>
      </c>
      <c r="B536" s="66" t="s">
        <v>327</v>
      </c>
      <c r="C536" s="66">
        <v>2018</v>
      </c>
      <c r="D536" s="66" t="s">
        <v>110</v>
      </c>
    </row>
    <row r="537" spans="1:4" x14ac:dyDescent="0.25">
      <c r="A537" s="65" t="s">
        <v>255</v>
      </c>
      <c r="B537" s="65" t="s">
        <v>256</v>
      </c>
      <c r="C537" s="65">
        <v>2019</v>
      </c>
      <c r="D537" s="65" t="s">
        <v>28</v>
      </c>
    </row>
    <row r="538" spans="1:4" x14ac:dyDescent="0.25">
      <c r="A538" s="66" t="s">
        <v>255</v>
      </c>
      <c r="B538" s="66" t="s">
        <v>344</v>
      </c>
      <c r="C538" s="66">
        <v>2019</v>
      </c>
      <c r="D538" s="66" t="s">
        <v>215</v>
      </c>
    </row>
    <row r="539" spans="1:4" x14ac:dyDescent="0.25">
      <c r="A539" s="65" t="s">
        <v>255</v>
      </c>
      <c r="B539" s="65" t="s">
        <v>256</v>
      </c>
      <c r="C539" s="65">
        <v>2018</v>
      </c>
      <c r="D539" s="65" t="s">
        <v>52</v>
      </c>
    </row>
    <row r="540" spans="1:4" x14ac:dyDescent="0.25">
      <c r="A540" s="66" t="s">
        <v>255</v>
      </c>
      <c r="B540" s="66" t="s">
        <v>266</v>
      </c>
      <c r="C540" s="66">
        <v>2017</v>
      </c>
      <c r="D540" s="66" t="s">
        <v>115</v>
      </c>
    </row>
    <row r="541" spans="1:4" x14ac:dyDescent="0.25">
      <c r="A541" s="65" t="s">
        <v>255</v>
      </c>
      <c r="B541" s="65" t="s">
        <v>275</v>
      </c>
      <c r="C541" s="65">
        <v>2018</v>
      </c>
      <c r="D541" s="65" t="s">
        <v>11</v>
      </c>
    </row>
    <row r="542" spans="1:4" x14ac:dyDescent="0.25">
      <c r="A542" s="66" t="s">
        <v>255</v>
      </c>
      <c r="B542" s="66" t="s">
        <v>256</v>
      </c>
      <c r="C542" s="66">
        <v>2020</v>
      </c>
      <c r="D542" s="66" t="s">
        <v>130</v>
      </c>
    </row>
    <row r="543" spans="1:4" x14ac:dyDescent="0.25">
      <c r="A543" s="65" t="s">
        <v>255</v>
      </c>
      <c r="B543" s="65" t="s">
        <v>319</v>
      </c>
      <c r="C543" s="65">
        <v>2018</v>
      </c>
      <c r="D543" s="65" t="s">
        <v>33</v>
      </c>
    </row>
    <row r="544" spans="1:4" x14ac:dyDescent="0.25">
      <c r="A544" s="66" t="s">
        <v>255</v>
      </c>
      <c r="B544" s="66" t="s">
        <v>256</v>
      </c>
      <c r="C544" s="66">
        <v>2018</v>
      </c>
      <c r="D544" s="66" t="s">
        <v>29</v>
      </c>
    </row>
    <row r="545" spans="1:4" x14ac:dyDescent="0.25">
      <c r="A545" s="65" t="s">
        <v>255</v>
      </c>
      <c r="B545" s="65" t="s">
        <v>256</v>
      </c>
      <c r="C545" s="65">
        <v>2020</v>
      </c>
      <c r="D545" s="65" t="s">
        <v>63</v>
      </c>
    </row>
    <row r="546" spans="1:4" x14ac:dyDescent="0.25">
      <c r="A546" s="66" t="s">
        <v>255</v>
      </c>
      <c r="B546" s="66" t="s">
        <v>256</v>
      </c>
      <c r="C546" s="66">
        <v>2020</v>
      </c>
      <c r="D546" s="66" t="s">
        <v>215</v>
      </c>
    </row>
    <row r="547" spans="1:4" x14ac:dyDescent="0.25">
      <c r="A547" s="65" t="s">
        <v>255</v>
      </c>
      <c r="B547" s="65" t="s">
        <v>275</v>
      </c>
      <c r="C547" s="65">
        <v>2019</v>
      </c>
      <c r="D547" s="65" t="s">
        <v>67</v>
      </c>
    </row>
    <row r="548" spans="1:4" x14ac:dyDescent="0.25">
      <c r="A548" s="66" t="s">
        <v>255</v>
      </c>
      <c r="B548" s="66" t="s">
        <v>256</v>
      </c>
      <c r="C548" s="66">
        <v>2019</v>
      </c>
      <c r="D548" s="66" t="s">
        <v>23</v>
      </c>
    </row>
    <row r="549" spans="1:4" x14ac:dyDescent="0.25">
      <c r="A549" s="65" t="s">
        <v>255</v>
      </c>
      <c r="B549" s="65" t="s">
        <v>256</v>
      </c>
      <c r="C549" s="65">
        <v>2018</v>
      </c>
      <c r="D549" s="65" t="s">
        <v>77</v>
      </c>
    </row>
    <row r="550" spans="1:4" x14ac:dyDescent="0.25">
      <c r="A550" s="66" t="s">
        <v>255</v>
      </c>
      <c r="B550" s="66" t="s">
        <v>319</v>
      </c>
      <c r="C550" s="66">
        <v>2020</v>
      </c>
      <c r="D550" s="66" t="s">
        <v>33</v>
      </c>
    </row>
    <row r="551" spans="1:4" x14ac:dyDescent="0.25">
      <c r="A551" s="65" t="s">
        <v>255</v>
      </c>
      <c r="B551" s="65" t="s">
        <v>256</v>
      </c>
      <c r="C551" s="65">
        <v>2017</v>
      </c>
      <c r="D551" s="65" t="s">
        <v>52</v>
      </c>
    </row>
    <row r="552" spans="1:4" x14ac:dyDescent="0.25">
      <c r="A552" s="66" t="s">
        <v>255</v>
      </c>
      <c r="B552" s="66" t="s">
        <v>256</v>
      </c>
      <c r="C552" s="66">
        <v>2018</v>
      </c>
      <c r="D552" s="66" t="s">
        <v>130</v>
      </c>
    </row>
    <row r="553" spans="1:4" x14ac:dyDescent="0.25">
      <c r="A553" s="65" t="s">
        <v>255</v>
      </c>
      <c r="B553" s="65" t="s">
        <v>284</v>
      </c>
      <c r="C553" s="65">
        <v>2017</v>
      </c>
      <c r="D553" s="65" t="s">
        <v>16</v>
      </c>
    </row>
    <row r="554" spans="1:4" x14ac:dyDescent="0.25">
      <c r="A554" s="66" t="s">
        <v>255</v>
      </c>
      <c r="B554" s="66" t="s">
        <v>275</v>
      </c>
      <c r="C554" s="66">
        <v>2020</v>
      </c>
      <c r="D554" s="66" t="s">
        <v>52</v>
      </c>
    </row>
    <row r="555" spans="1:4" x14ac:dyDescent="0.25">
      <c r="A555" s="65" t="s">
        <v>255</v>
      </c>
      <c r="B555" s="65" t="s">
        <v>275</v>
      </c>
      <c r="C555" s="65">
        <v>2020</v>
      </c>
      <c r="D555" s="65" t="s">
        <v>130</v>
      </c>
    </row>
    <row r="556" spans="1:4" x14ac:dyDescent="0.25">
      <c r="A556" s="66" t="s">
        <v>255</v>
      </c>
      <c r="B556" s="66" t="s">
        <v>256</v>
      </c>
      <c r="C556" s="66">
        <v>2019</v>
      </c>
      <c r="D556" s="66" t="s">
        <v>115</v>
      </c>
    </row>
    <row r="557" spans="1:4" x14ac:dyDescent="0.25">
      <c r="A557" s="65" t="s">
        <v>255</v>
      </c>
      <c r="B557" s="65" t="s">
        <v>256</v>
      </c>
      <c r="C557" s="65">
        <v>2020</v>
      </c>
      <c r="D557" s="65" t="s">
        <v>82</v>
      </c>
    </row>
    <row r="558" spans="1:4" x14ac:dyDescent="0.25">
      <c r="A558" s="66" t="s">
        <v>255</v>
      </c>
      <c r="B558" s="66" t="s">
        <v>275</v>
      </c>
      <c r="C558" s="66">
        <v>2017</v>
      </c>
      <c r="D558" s="66" t="s">
        <v>23</v>
      </c>
    </row>
    <row r="559" spans="1:4" x14ac:dyDescent="0.25">
      <c r="A559" s="65" t="s">
        <v>255</v>
      </c>
      <c r="B559" s="65" t="s">
        <v>256</v>
      </c>
      <c r="C559" s="65">
        <v>2018</v>
      </c>
      <c r="D559" s="65" t="s">
        <v>124</v>
      </c>
    </row>
    <row r="560" spans="1:4" x14ac:dyDescent="0.25">
      <c r="A560" s="66" t="s">
        <v>255</v>
      </c>
      <c r="B560" s="66" t="s">
        <v>275</v>
      </c>
      <c r="C560" s="66">
        <v>2018</v>
      </c>
      <c r="D560" s="66" t="s">
        <v>88</v>
      </c>
    </row>
    <row r="561" spans="1:4" x14ac:dyDescent="0.25">
      <c r="A561" s="65" t="s">
        <v>255</v>
      </c>
      <c r="B561" s="65" t="s">
        <v>256</v>
      </c>
      <c r="C561" s="65">
        <v>2020</v>
      </c>
      <c r="D561" s="65" t="s">
        <v>88</v>
      </c>
    </row>
    <row r="562" spans="1:4" x14ac:dyDescent="0.25">
      <c r="A562" s="66" t="s">
        <v>255</v>
      </c>
      <c r="B562" s="66" t="s">
        <v>266</v>
      </c>
      <c r="C562" s="66">
        <v>2019</v>
      </c>
      <c r="D562" s="66" t="s">
        <v>215</v>
      </c>
    </row>
    <row r="563" spans="1:4" x14ac:dyDescent="0.25">
      <c r="A563" s="65" t="s">
        <v>255</v>
      </c>
      <c r="B563" s="65" t="s">
        <v>256</v>
      </c>
      <c r="C563" s="65">
        <v>2020</v>
      </c>
      <c r="D563" s="65" t="s">
        <v>67</v>
      </c>
    </row>
    <row r="564" spans="1:4" x14ac:dyDescent="0.25">
      <c r="A564" s="66" t="s">
        <v>255</v>
      </c>
      <c r="B564" s="66" t="s">
        <v>275</v>
      </c>
      <c r="C564" s="66">
        <v>2017</v>
      </c>
      <c r="D564" s="66" t="s">
        <v>147</v>
      </c>
    </row>
    <row r="565" spans="1:4" x14ac:dyDescent="0.25">
      <c r="A565" s="65" t="s">
        <v>255</v>
      </c>
      <c r="B565" s="65" t="s">
        <v>284</v>
      </c>
      <c r="C565" s="65">
        <v>2020</v>
      </c>
      <c r="D565" s="65" t="s">
        <v>106</v>
      </c>
    </row>
    <row r="566" spans="1:4" x14ac:dyDescent="0.25">
      <c r="A566" s="66" t="s">
        <v>255</v>
      </c>
      <c r="B566" s="66" t="s">
        <v>256</v>
      </c>
      <c r="C566" s="66">
        <v>2017</v>
      </c>
      <c r="D566" s="66" t="s">
        <v>12</v>
      </c>
    </row>
    <row r="567" spans="1:4" x14ac:dyDescent="0.25">
      <c r="A567" s="65" t="s">
        <v>255</v>
      </c>
      <c r="B567" s="65" t="s">
        <v>256</v>
      </c>
      <c r="C567" s="65">
        <v>2017</v>
      </c>
      <c r="D567" s="65" t="s">
        <v>24</v>
      </c>
    </row>
    <row r="568" spans="1:4" x14ac:dyDescent="0.25">
      <c r="A568" s="66" t="s">
        <v>255</v>
      </c>
      <c r="B568" s="66" t="s">
        <v>275</v>
      </c>
      <c r="C568" s="66">
        <v>2020</v>
      </c>
      <c r="D568" s="66" t="s">
        <v>33</v>
      </c>
    </row>
    <row r="569" spans="1:4" x14ac:dyDescent="0.25">
      <c r="A569" s="65" t="s">
        <v>255</v>
      </c>
      <c r="B569" s="65" t="s">
        <v>256</v>
      </c>
      <c r="C569" s="65">
        <v>2020</v>
      </c>
      <c r="D569" s="65" t="s">
        <v>63</v>
      </c>
    </row>
    <row r="570" spans="1:4" x14ac:dyDescent="0.25">
      <c r="A570" s="66" t="s">
        <v>255</v>
      </c>
      <c r="B570" s="66" t="s">
        <v>256</v>
      </c>
      <c r="C570" s="66">
        <v>2018</v>
      </c>
      <c r="D570" s="66" t="s">
        <v>12</v>
      </c>
    </row>
    <row r="571" spans="1:4" x14ac:dyDescent="0.25">
      <c r="A571" s="65" t="s">
        <v>255</v>
      </c>
      <c r="B571" s="65" t="s">
        <v>256</v>
      </c>
      <c r="C571" s="65">
        <v>2019</v>
      </c>
      <c r="D571" s="65" t="s">
        <v>147</v>
      </c>
    </row>
    <row r="572" spans="1:4" x14ac:dyDescent="0.25">
      <c r="A572" s="66" t="s">
        <v>255</v>
      </c>
      <c r="B572" s="66" t="s">
        <v>531</v>
      </c>
      <c r="C572" s="66">
        <v>2017</v>
      </c>
      <c r="D572" s="66" t="s">
        <v>16</v>
      </c>
    </row>
    <row r="573" spans="1:4" x14ac:dyDescent="0.25">
      <c r="A573" s="65" t="s">
        <v>255</v>
      </c>
      <c r="B573" s="65" t="s">
        <v>256</v>
      </c>
      <c r="C573" s="65">
        <v>2019</v>
      </c>
      <c r="D573" s="65" t="s">
        <v>67</v>
      </c>
    </row>
    <row r="574" spans="1:4" x14ac:dyDescent="0.25">
      <c r="A574" s="66" t="s">
        <v>255</v>
      </c>
      <c r="B574" s="66" t="s">
        <v>256</v>
      </c>
      <c r="C574" s="66">
        <v>2018</v>
      </c>
      <c r="D574" s="66" t="s">
        <v>67</v>
      </c>
    </row>
    <row r="575" spans="1:4" x14ac:dyDescent="0.25">
      <c r="A575" s="65" t="s">
        <v>255</v>
      </c>
      <c r="B575" s="65" t="s">
        <v>261</v>
      </c>
      <c r="C575" s="65">
        <v>2018</v>
      </c>
      <c r="D575" s="65" t="s">
        <v>12</v>
      </c>
    </row>
    <row r="576" spans="1:4" x14ac:dyDescent="0.25">
      <c r="A576" s="66" t="s">
        <v>255</v>
      </c>
      <c r="B576" s="66" t="s">
        <v>319</v>
      </c>
      <c r="C576" s="66">
        <v>2019</v>
      </c>
      <c r="D576" s="66" t="s">
        <v>28</v>
      </c>
    </row>
    <row r="577" spans="1:4" x14ac:dyDescent="0.25">
      <c r="A577" s="65" t="s">
        <v>255</v>
      </c>
      <c r="B577" s="65" t="s">
        <v>266</v>
      </c>
      <c r="C577" s="65">
        <v>2020</v>
      </c>
      <c r="D577" s="65" t="s">
        <v>28</v>
      </c>
    </row>
    <row r="578" spans="1:4" x14ac:dyDescent="0.25">
      <c r="A578" s="66" t="s">
        <v>255</v>
      </c>
      <c r="B578" s="66" t="s">
        <v>256</v>
      </c>
      <c r="C578" s="66">
        <v>2018</v>
      </c>
      <c r="D578" s="66" t="s">
        <v>52</v>
      </c>
    </row>
    <row r="579" spans="1:4" x14ac:dyDescent="0.25">
      <c r="A579" s="65" t="s">
        <v>255</v>
      </c>
      <c r="B579" s="65" t="s">
        <v>256</v>
      </c>
      <c r="C579" s="65">
        <v>2018</v>
      </c>
      <c r="D579" s="65" t="s">
        <v>110</v>
      </c>
    </row>
    <row r="580" spans="1:4" x14ac:dyDescent="0.25">
      <c r="A580" s="66" t="s">
        <v>255</v>
      </c>
      <c r="B580" s="66" t="s">
        <v>256</v>
      </c>
      <c r="C580" s="66">
        <v>2017</v>
      </c>
      <c r="D580" s="66" t="s">
        <v>115</v>
      </c>
    </row>
    <row r="581" spans="1:4" x14ac:dyDescent="0.25">
      <c r="A581" s="65" t="s">
        <v>255</v>
      </c>
      <c r="B581" s="65" t="s">
        <v>275</v>
      </c>
      <c r="C581" s="65">
        <v>2020</v>
      </c>
      <c r="D581" s="65" t="s">
        <v>130</v>
      </c>
    </row>
    <row r="582" spans="1:4" x14ac:dyDescent="0.25">
      <c r="A582" s="66" t="s">
        <v>255</v>
      </c>
      <c r="B582" s="66" t="s">
        <v>256</v>
      </c>
      <c r="C582" s="66">
        <v>2019</v>
      </c>
      <c r="D582" s="66" t="s">
        <v>75</v>
      </c>
    </row>
    <row r="583" spans="1:4" x14ac:dyDescent="0.25">
      <c r="A583" s="65" t="s">
        <v>255</v>
      </c>
      <c r="B583" s="65" t="s">
        <v>319</v>
      </c>
      <c r="C583" s="65">
        <v>2020</v>
      </c>
      <c r="D583" s="65" t="s">
        <v>24</v>
      </c>
    </row>
    <row r="584" spans="1:4" x14ac:dyDescent="0.25">
      <c r="A584" s="66" t="s">
        <v>255</v>
      </c>
      <c r="B584" s="66" t="s">
        <v>256</v>
      </c>
      <c r="C584" s="66">
        <v>2018</v>
      </c>
      <c r="D584" s="66" t="s">
        <v>37</v>
      </c>
    </row>
    <row r="585" spans="1:4" x14ac:dyDescent="0.25">
      <c r="A585" s="65" t="s">
        <v>255</v>
      </c>
      <c r="B585" s="65" t="s">
        <v>261</v>
      </c>
      <c r="C585" s="65">
        <v>2018</v>
      </c>
      <c r="D585" s="65" t="s">
        <v>23</v>
      </c>
    </row>
    <row r="586" spans="1:4" x14ac:dyDescent="0.25">
      <c r="A586" s="66" t="s">
        <v>255</v>
      </c>
      <c r="B586" s="66" t="s">
        <v>256</v>
      </c>
      <c r="C586" s="66">
        <v>2019</v>
      </c>
      <c r="D586" s="66" t="s">
        <v>36</v>
      </c>
    </row>
    <row r="587" spans="1:4" x14ac:dyDescent="0.25">
      <c r="A587" s="65" t="s">
        <v>255</v>
      </c>
      <c r="B587" s="65" t="s">
        <v>256</v>
      </c>
      <c r="C587" s="65">
        <v>2019</v>
      </c>
      <c r="D587" s="65" t="s">
        <v>130</v>
      </c>
    </row>
    <row r="588" spans="1:4" x14ac:dyDescent="0.25">
      <c r="A588" s="66" t="s">
        <v>255</v>
      </c>
      <c r="B588" s="66" t="s">
        <v>344</v>
      </c>
      <c r="C588" s="66">
        <v>2020</v>
      </c>
      <c r="D588" s="66" t="s">
        <v>12</v>
      </c>
    </row>
    <row r="589" spans="1:4" x14ac:dyDescent="0.25">
      <c r="A589" s="65" t="s">
        <v>255</v>
      </c>
      <c r="B589" s="65" t="s">
        <v>256</v>
      </c>
      <c r="C589" s="65">
        <v>2017</v>
      </c>
      <c r="D589" s="65" t="s">
        <v>55</v>
      </c>
    </row>
    <row r="590" spans="1:4" x14ac:dyDescent="0.25">
      <c r="A590" s="66" t="s">
        <v>255</v>
      </c>
      <c r="B590" s="66" t="s">
        <v>256</v>
      </c>
      <c r="C590" s="66">
        <v>2018</v>
      </c>
      <c r="D590" s="66" t="s">
        <v>28</v>
      </c>
    </row>
    <row r="591" spans="1:4" x14ac:dyDescent="0.25">
      <c r="A591" s="65" t="s">
        <v>255</v>
      </c>
      <c r="B591" s="65" t="s">
        <v>275</v>
      </c>
      <c r="C591" s="65">
        <v>2020</v>
      </c>
      <c r="D591" s="65" t="s">
        <v>115</v>
      </c>
    </row>
    <row r="592" spans="1:4" x14ac:dyDescent="0.25">
      <c r="A592" s="66" t="s">
        <v>255</v>
      </c>
      <c r="B592" s="66" t="s">
        <v>319</v>
      </c>
      <c r="C592" s="66">
        <v>2018</v>
      </c>
      <c r="D592" s="66" t="s">
        <v>29</v>
      </c>
    </row>
    <row r="593" spans="1:4" x14ac:dyDescent="0.25">
      <c r="A593" s="65" t="s">
        <v>255</v>
      </c>
      <c r="B593" s="65" t="s">
        <v>256</v>
      </c>
      <c r="C593" s="65">
        <v>2019</v>
      </c>
      <c r="D593" s="65" t="s">
        <v>37</v>
      </c>
    </row>
    <row r="594" spans="1:4" x14ac:dyDescent="0.25">
      <c r="A594" s="66" t="s">
        <v>255</v>
      </c>
      <c r="B594" s="66" t="s">
        <v>261</v>
      </c>
      <c r="C594" s="66">
        <v>2017</v>
      </c>
      <c r="D594" s="66" t="s">
        <v>37</v>
      </c>
    </row>
    <row r="595" spans="1:4" x14ac:dyDescent="0.25">
      <c r="A595" s="65" t="s">
        <v>255</v>
      </c>
      <c r="B595" s="65" t="s">
        <v>261</v>
      </c>
      <c r="C595" s="65">
        <v>2017</v>
      </c>
      <c r="D595" s="65" t="s">
        <v>82</v>
      </c>
    </row>
    <row r="596" spans="1:4" x14ac:dyDescent="0.25">
      <c r="A596" s="66" t="s">
        <v>255</v>
      </c>
      <c r="B596" s="66" t="s">
        <v>256</v>
      </c>
      <c r="C596" s="66">
        <v>2018</v>
      </c>
      <c r="D596" s="66" t="s">
        <v>82</v>
      </c>
    </row>
    <row r="597" spans="1:4" x14ac:dyDescent="0.25">
      <c r="A597" s="65" t="s">
        <v>255</v>
      </c>
      <c r="B597" s="65" t="s">
        <v>275</v>
      </c>
      <c r="C597" s="65">
        <v>2019</v>
      </c>
      <c r="D597" s="65" t="s">
        <v>63</v>
      </c>
    </row>
    <row r="598" spans="1:4" x14ac:dyDescent="0.25">
      <c r="A598" s="66" t="s">
        <v>255</v>
      </c>
      <c r="B598" s="66" t="s">
        <v>266</v>
      </c>
      <c r="C598" s="66">
        <v>2020</v>
      </c>
      <c r="D598" s="66" t="s">
        <v>37</v>
      </c>
    </row>
    <row r="599" spans="1:4" x14ac:dyDescent="0.25">
      <c r="A599" s="65" t="s">
        <v>255</v>
      </c>
      <c r="B599" s="65" t="s">
        <v>256</v>
      </c>
      <c r="C599" s="65">
        <v>2019</v>
      </c>
      <c r="D599" s="65" t="s">
        <v>33</v>
      </c>
    </row>
    <row r="600" spans="1:4" x14ac:dyDescent="0.25">
      <c r="A600" s="66" t="s">
        <v>255</v>
      </c>
      <c r="B600" s="66" t="s">
        <v>256</v>
      </c>
      <c r="C600" s="66">
        <v>2018</v>
      </c>
      <c r="D600" s="66" t="s">
        <v>28</v>
      </c>
    </row>
    <row r="601" spans="1:4" ht="15.75" thickBot="1" x14ac:dyDescent="0.3">
      <c r="A601" s="67" t="s">
        <v>255</v>
      </c>
      <c r="B601" s="67" t="s">
        <v>266</v>
      </c>
      <c r="C601" s="67">
        <v>2019</v>
      </c>
      <c r="D601" s="67" t="s">
        <v>52</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Home</vt:lpstr>
      <vt:lpstr>Pencarian</vt:lpstr>
      <vt:lpstr>Performa</vt:lpstr>
      <vt:lpstr>Penelitian</vt:lpstr>
      <vt:lpstr>PengMas</vt:lpstr>
      <vt:lpstr>Infografis Penelitian Nas</vt:lpstr>
      <vt:lpstr>Infografis Penelitian KatIns</vt:lpstr>
      <vt:lpstr>Infografis PengMas</vt:lpstr>
      <vt:lpstr>Infografis PengMas KatIns</vt:lpstr>
      <vt:lpstr>Database</vt:lpstr>
      <vt:lpstr>Grafik Penelitian</vt:lpstr>
      <vt:lpstr>Grafik Pengmas</vt:lpstr>
      <vt:lpstr>Grafik Performa</vt:lpstr>
      <vt:lpstr>Data</vt:lpstr>
      <vt:lpstr>'Infografis Penelitian KatIns'!Database</vt:lpstr>
      <vt:lpstr>'Infografis Penelitian Nas'!Database</vt:lpstr>
      <vt:lpstr>'Infografis PengMas'!Database</vt:lpstr>
      <vt:lpstr>'Infografis PengMas KatIns'!Database</vt:lpstr>
      <vt:lpstr>Pencarian!Database</vt:lpstr>
      <vt:lpstr>Penelitian!Database</vt:lpstr>
      <vt:lpstr>PengMas!Database</vt:lpstr>
      <vt:lpstr>Performa!Database</vt:lpstr>
      <vt:lpstr>Database</vt:lpstr>
      <vt:lpstr>DataDosen</vt:lpstr>
      <vt:lpstr>HeaderMD</vt:lpstr>
      <vt:lpstr>MasterData</vt:lpstr>
    </vt:vector>
  </TitlesOfParts>
  <Company>by adguard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2020-03-15T01:33:32Z</dcterms:created>
  <dcterms:modified xsi:type="dcterms:W3CDTF">2020-03-28T02:51:45Z</dcterms:modified>
</cp:coreProperties>
</file>